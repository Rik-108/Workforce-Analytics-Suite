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F83466B8-562B-485F-B33C-F09F85F45E74}" xr6:coauthVersionLast="47" xr6:coauthVersionMax="47" xr10:uidLastSave="{00000000-0000-0000-0000-000000000000}"/>
  <bookViews>
    <workbookView xWindow="-108" yWindow="-108" windowWidth="23256" windowHeight="12456" xr2:uid="{2098BFD1-C8CA-47A8-B719-7E516FA58EC0}"/>
  </bookViews>
  <sheets>
    <sheet name="Probit" sheetId="1" r:id="rId1"/>
  </sheets>
  <definedNames>
    <definedName name="solver_adj" localSheetId="0" hidden="1">Probit!$P$3:$S$3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Probit!$L$4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 s="1"/>
  <c r="H3" i="1" s="1"/>
  <c r="J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J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J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J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J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J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51" i="1"/>
  <c r="G51" i="1" s="1"/>
  <c r="H51" i="1" s="1"/>
  <c r="J51" i="1" s="1"/>
  <c r="F52" i="1"/>
  <c r="G52" i="1" s="1"/>
  <c r="H52" i="1" s="1"/>
  <c r="F53" i="1"/>
  <c r="G53" i="1" s="1"/>
  <c r="H53" i="1" s="1"/>
  <c r="F54" i="1"/>
  <c r="G54" i="1" s="1"/>
  <c r="H54" i="1" s="1"/>
  <c r="F55" i="1"/>
  <c r="G55" i="1" s="1"/>
  <c r="H55" i="1" s="1"/>
  <c r="F56" i="1"/>
  <c r="G56" i="1" s="1"/>
  <c r="H56" i="1" s="1"/>
  <c r="F57" i="1"/>
  <c r="G57" i="1" s="1"/>
  <c r="H57" i="1" s="1"/>
  <c r="F58" i="1"/>
  <c r="G58" i="1" s="1"/>
  <c r="H58" i="1" s="1"/>
  <c r="F59" i="1"/>
  <c r="G59" i="1" s="1"/>
  <c r="H59" i="1" s="1"/>
  <c r="J59" i="1" s="1"/>
  <c r="F60" i="1"/>
  <c r="G60" i="1" s="1"/>
  <c r="H60" i="1" s="1"/>
  <c r="F61" i="1"/>
  <c r="G61" i="1" s="1"/>
  <c r="H61" i="1" s="1"/>
  <c r="F62" i="1"/>
  <c r="G62" i="1" s="1"/>
  <c r="H62" i="1" s="1"/>
  <c r="F63" i="1"/>
  <c r="G63" i="1" s="1"/>
  <c r="H63" i="1" s="1"/>
  <c r="F64" i="1"/>
  <c r="G64" i="1" s="1"/>
  <c r="H64" i="1" s="1"/>
  <c r="F65" i="1"/>
  <c r="G65" i="1" s="1"/>
  <c r="H65" i="1" s="1"/>
  <c r="F66" i="1"/>
  <c r="G66" i="1" s="1"/>
  <c r="H66" i="1" s="1"/>
  <c r="F67" i="1"/>
  <c r="G67" i="1" s="1"/>
  <c r="H67" i="1" s="1"/>
  <c r="J67" i="1" s="1"/>
  <c r="F68" i="1"/>
  <c r="G68" i="1" s="1"/>
  <c r="H68" i="1" s="1"/>
  <c r="F69" i="1"/>
  <c r="G69" i="1" s="1"/>
  <c r="H69" i="1" s="1"/>
  <c r="F70" i="1"/>
  <c r="G70" i="1" s="1"/>
  <c r="H70" i="1" s="1"/>
  <c r="F71" i="1"/>
  <c r="G71" i="1" s="1"/>
  <c r="H71" i="1" s="1"/>
  <c r="F72" i="1"/>
  <c r="G72" i="1" s="1"/>
  <c r="H72" i="1" s="1"/>
  <c r="F73" i="1"/>
  <c r="G73" i="1" s="1"/>
  <c r="H73" i="1" s="1"/>
  <c r="F74" i="1"/>
  <c r="G74" i="1" s="1"/>
  <c r="H74" i="1" s="1"/>
  <c r="F75" i="1"/>
  <c r="G75" i="1" s="1"/>
  <c r="H75" i="1" s="1"/>
  <c r="J75" i="1" s="1"/>
  <c r="F76" i="1"/>
  <c r="G76" i="1" s="1"/>
  <c r="H76" i="1" s="1"/>
  <c r="F77" i="1"/>
  <c r="G77" i="1" s="1"/>
  <c r="H77" i="1" s="1"/>
  <c r="F78" i="1"/>
  <c r="G78" i="1" s="1"/>
  <c r="H78" i="1" s="1"/>
  <c r="F79" i="1"/>
  <c r="G79" i="1" s="1"/>
  <c r="H79" i="1" s="1"/>
  <c r="F80" i="1"/>
  <c r="G80" i="1" s="1"/>
  <c r="H80" i="1" s="1"/>
  <c r="F81" i="1"/>
  <c r="G81" i="1" s="1"/>
  <c r="H81" i="1" s="1"/>
  <c r="F82" i="1"/>
  <c r="G82" i="1" s="1"/>
  <c r="H82" i="1" s="1"/>
  <c r="F83" i="1"/>
  <c r="G83" i="1" s="1"/>
  <c r="H83" i="1" s="1"/>
  <c r="J83" i="1" s="1"/>
  <c r="F84" i="1"/>
  <c r="G84" i="1" s="1"/>
  <c r="H84" i="1" s="1"/>
  <c r="F2" i="1"/>
  <c r="G2" i="1" s="1"/>
  <c r="H2" i="1" s="1"/>
  <c r="J2" i="1" s="1"/>
  <c r="J74" i="1" l="1"/>
  <c r="I74" i="1"/>
  <c r="J34" i="1"/>
  <c r="I34" i="1"/>
  <c r="I81" i="1"/>
  <c r="J81" i="1"/>
  <c r="J49" i="1"/>
  <c r="I49" i="1"/>
  <c r="I9" i="1"/>
  <c r="J9" i="1"/>
  <c r="I56" i="1"/>
  <c r="J56" i="1"/>
  <c r="I48" i="1"/>
  <c r="J48" i="1"/>
  <c r="I32" i="1"/>
  <c r="J32" i="1"/>
  <c r="I24" i="1"/>
  <c r="J24" i="1"/>
  <c r="I16" i="1"/>
  <c r="J16" i="1"/>
  <c r="I8" i="1"/>
  <c r="J8" i="1"/>
  <c r="I40" i="1"/>
  <c r="J40" i="1"/>
  <c r="J66" i="1"/>
  <c r="I66" i="1"/>
  <c r="J18" i="1"/>
  <c r="I18" i="1"/>
  <c r="J41" i="1"/>
  <c r="I41" i="1"/>
  <c r="I79" i="1"/>
  <c r="J79" i="1"/>
  <c r="I63" i="1"/>
  <c r="J63" i="1"/>
  <c r="I55" i="1"/>
  <c r="J55" i="1"/>
  <c r="I47" i="1"/>
  <c r="J47" i="1"/>
  <c r="I39" i="1"/>
  <c r="J39" i="1"/>
  <c r="I31" i="1"/>
  <c r="J31" i="1"/>
  <c r="I23" i="1"/>
  <c r="J23" i="1"/>
  <c r="I15" i="1"/>
  <c r="J15" i="1"/>
  <c r="I7" i="1"/>
  <c r="J7" i="1"/>
  <c r="I14" i="1"/>
  <c r="J14" i="1"/>
  <c r="J42" i="1"/>
  <c r="I42" i="1"/>
  <c r="I78" i="1"/>
  <c r="J78" i="1"/>
  <c r="J65" i="1"/>
  <c r="I65" i="1"/>
  <c r="I17" i="1"/>
  <c r="J17" i="1"/>
  <c r="I64" i="1"/>
  <c r="J64" i="1"/>
  <c r="J54" i="1"/>
  <c r="I54" i="1"/>
  <c r="I46" i="1"/>
  <c r="J46" i="1"/>
  <c r="I38" i="1"/>
  <c r="J38" i="1"/>
  <c r="J30" i="1"/>
  <c r="I30" i="1"/>
  <c r="I22" i="1"/>
  <c r="J22" i="1"/>
  <c r="J6" i="1"/>
  <c r="I6" i="1"/>
  <c r="J82" i="1"/>
  <c r="I82" i="1"/>
  <c r="J10" i="1"/>
  <c r="I10" i="1"/>
  <c r="I57" i="1"/>
  <c r="J57" i="1"/>
  <c r="I62" i="1"/>
  <c r="J62" i="1"/>
  <c r="J53" i="1"/>
  <c r="I53" i="1"/>
  <c r="J37" i="1"/>
  <c r="I37" i="1"/>
  <c r="J13" i="1"/>
  <c r="I13" i="1"/>
  <c r="J5" i="1"/>
  <c r="I5" i="1"/>
  <c r="J50" i="1"/>
  <c r="I50" i="1"/>
  <c r="I33" i="1"/>
  <c r="J33" i="1"/>
  <c r="I80" i="1"/>
  <c r="J80" i="1"/>
  <c r="I71" i="1"/>
  <c r="J71" i="1"/>
  <c r="J69" i="1"/>
  <c r="I69" i="1"/>
  <c r="J29" i="1"/>
  <c r="I29" i="1"/>
  <c r="J76" i="1"/>
  <c r="I76" i="1"/>
  <c r="J60" i="1"/>
  <c r="I60" i="1"/>
  <c r="J36" i="1"/>
  <c r="I36" i="1"/>
  <c r="J20" i="1"/>
  <c r="I20" i="1"/>
  <c r="J4" i="1"/>
  <c r="I4" i="1"/>
  <c r="J58" i="1"/>
  <c r="I58" i="1"/>
  <c r="J26" i="1"/>
  <c r="I26" i="1"/>
  <c r="I73" i="1"/>
  <c r="J73" i="1"/>
  <c r="I25" i="1"/>
  <c r="J25" i="1"/>
  <c r="I72" i="1"/>
  <c r="J72" i="1"/>
  <c r="J70" i="1"/>
  <c r="I70" i="1"/>
  <c r="J77" i="1"/>
  <c r="I77" i="1"/>
  <c r="J61" i="1"/>
  <c r="I61" i="1"/>
  <c r="J45" i="1"/>
  <c r="I45" i="1"/>
  <c r="J21" i="1"/>
  <c r="I21" i="1"/>
  <c r="J84" i="1"/>
  <c r="I84" i="1"/>
  <c r="J68" i="1"/>
  <c r="I68" i="1"/>
  <c r="J52" i="1"/>
  <c r="I52" i="1"/>
  <c r="J44" i="1"/>
  <c r="I44" i="1"/>
  <c r="J28" i="1"/>
  <c r="I28" i="1"/>
  <c r="J12" i="1"/>
  <c r="I12" i="1"/>
  <c r="I2" i="1"/>
  <c r="I83" i="1"/>
  <c r="I75" i="1"/>
  <c r="I67" i="1"/>
  <c r="I59" i="1"/>
  <c r="I51" i="1"/>
  <c r="I43" i="1"/>
  <c r="I35" i="1"/>
  <c r="I27" i="1"/>
  <c r="I19" i="1"/>
  <c r="I11" i="1"/>
  <c r="I3" i="1"/>
  <c r="L4" i="1" l="1"/>
</calcChain>
</file>

<file path=xl/sharedStrings.xml><?xml version="1.0" encoding="utf-8"?>
<sst xmlns="http://schemas.openxmlformats.org/spreadsheetml/2006/main" count="15" uniqueCount="15">
  <si>
    <t>ID</t>
  </si>
  <si>
    <t>Age</t>
  </si>
  <si>
    <t>Tenure</t>
  </si>
  <si>
    <t>Satisfaction</t>
  </si>
  <si>
    <t>Attrition</t>
  </si>
  <si>
    <t>Intercept</t>
  </si>
  <si>
    <t>b_Age</t>
  </si>
  <si>
    <t>b_Tenure</t>
  </si>
  <si>
    <t>b_Satisfaction</t>
  </si>
  <si>
    <t>index_z</t>
  </si>
  <si>
    <t>Prob_p</t>
  </si>
  <si>
    <t>p_adj</t>
  </si>
  <si>
    <t>Pred_Y</t>
  </si>
  <si>
    <t>LL_i</t>
  </si>
  <si>
    <t>Total Log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</si>
</sst>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944A-F2FB-477E-B9B7-7831DDE4281A}">
  <dimension ref="A1:S84"/>
  <sheetViews>
    <sheetView tabSelected="1" workbookViewId="0">
      <selection activeCell="E81" sqref="E81"/>
    </sheetView>
  </sheetViews>
  <sheetFormatPr defaultRowHeight="14.4" x14ac:dyDescent="0.3"/>
  <cols>
    <col min="4" max="4" width="11.44140625" customWidth="1"/>
    <col min="18" max="19" width="13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</row>
    <row r="2" spans="1:19" x14ac:dyDescent="0.3">
      <c r="A2" s="2">
        <v>1</v>
      </c>
      <c r="B2" s="2">
        <v>40</v>
      </c>
      <c r="C2" s="2">
        <v>17</v>
      </c>
      <c r="D2" s="2">
        <v>5</v>
      </c>
      <c r="E2" s="2">
        <v>0</v>
      </c>
      <c r="F2">
        <f>P3+B2*$Q$3+C2*$R$3+D2*$S$3</f>
        <v>0</v>
      </c>
      <c r="G2">
        <f>_xlfn.NORM.S.DIST(F2,TRUE)</f>
        <v>0.5</v>
      </c>
      <c r="H2">
        <f>MIN(MAX(G2,0.000001),1-0.000001)</f>
        <v>0.5</v>
      </c>
      <c r="I2">
        <f>IF(H2&gt;=0.5,1,0)</f>
        <v>1</v>
      </c>
      <c r="J2">
        <f>IF(E2=1,LN(H2),LN(1-H2))</f>
        <v>-0.69314718055994529</v>
      </c>
      <c r="P2" s="2" t="s">
        <v>5</v>
      </c>
      <c r="Q2" s="2" t="s">
        <v>6</v>
      </c>
      <c r="R2" s="2" t="s">
        <v>7</v>
      </c>
      <c r="S2" s="2" t="s">
        <v>8</v>
      </c>
    </row>
    <row r="3" spans="1:19" x14ac:dyDescent="0.3">
      <c r="A3" s="2">
        <v>2</v>
      </c>
      <c r="B3" s="2">
        <v>41</v>
      </c>
      <c r="C3" s="2">
        <v>4</v>
      </c>
      <c r="D3" s="2">
        <v>2</v>
      </c>
      <c r="E3" s="2">
        <v>0</v>
      </c>
      <c r="F3">
        <f t="shared" ref="F3:F66" si="0">P4+B3*$Q$3+C3*$R$3+D3*$S$3</f>
        <v>0</v>
      </c>
      <c r="G3">
        <f t="shared" ref="G3:G66" si="1">_xlfn.NORM.S.DIST(F3,TRUE)</f>
        <v>0.5</v>
      </c>
      <c r="H3">
        <f t="shared" ref="H3:H66" si="2">MIN(MAX(G3,0.000001),1-0.000001)</f>
        <v>0.5</v>
      </c>
      <c r="I3">
        <f t="shared" ref="I3:I66" si="3">IF(H3&gt;=0.5,1,0)</f>
        <v>1</v>
      </c>
      <c r="J3">
        <f t="shared" ref="J3:J66" si="4">IF(E3=1,LN(H3),LN(1-H3))</f>
        <v>-0.69314718055994529</v>
      </c>
      <c r="L3" t="s">
        <v>14</v>
      </c>
      <c r="P3">
        <v>0</v>
      </c>
      <c r="Q3">
        <v>0</v>
      </c>
      <c r="R3">
        <v>0</v>
      </c>
      <c r="S3">
        <v>0</v>
      </c>
    </row>
    <row r="4" spans="1:19" x14ac:dyDescent="0.3">
      <c r="A4" s="2">
        <v>3</v>
      </c>
      <c r="B4" s="2">
        <v>51</v>
      </c>
      <c r="C4" s="2">
        <v>12</v>
      </c>
      <c r="D4" s="2">
        <v>5</v>
      </c>
      <c r="E4" s="2">
        <v>0</v>
      </c>
      <c r="F4">
        <f t="shared" si="0"/>
        <v>0</v>
      </c>
      <c r="G4">
        <f t="shared" si="1"/>
        <v>0.5</v>
      </c>
      <c r="H4">
        <f t="shared" si="2"/>
        <v>0.5</v>
      </c>
      <c r="I4">
        <f t="shared" si="3"/>
        <v>1</v>
      </c>
      <c r="J4">
        <f t="shared" si="4"/>
        <v>-0.69314718055994529</v>
      </c>
      <c r="L4">
        <f>SUM(J2:J84)</f>
        <v>-57.531215986475488</v>
      </c>
    </row>
    <row r="5" spans="1:19" x14ac:dyDescent="0.3">
      <c r="A5" s="2">
        <v>4</v>
      </c>
      <c r="B5" s="2">
        <v>59</v>
      </c>
      <c r="C5" s="2">
        <v>16</v>
      </c>
      <c r="D5" s="2">
        <v>5</v>
      </c>
      <c r="E5" s="2">
        <v>0</v>
      </c>
      <c r="F5">
        <f t="shared" si="0"/>
        <v>0</v>
      </c>
      <c r="G5">
        <f t="shared" si="1"/>
        <v>0.5</v>
      </c>
      <c r="H5">
        <f t="shared" si="2"/>
        <v>0.5</v>
      </c>
      <c r="I5">
        <f t="shared" si="3"/>
        <v>1</v>
      </c>
      <c r="J5">
        <f t="shared" si="4"/>
        <v>-0.69314718055994529</v>
      </c>
    </row>
    <row r="6" spans="1:19" x14ac:dyDescent="0.3">
      <c r="A6" s="2">
        <v>5</v>
      </c>
      <c r="B6" s="2">
        <v>23</v>
      </c>
      <c r="C6" s="2">
        <v>1</v>
      </c>
      <c r="D6" s="2">
        <v>2</v>
      </c>
      <c r="E6" s="2">
        <v>0</v>
      </c>
      <c r="F6">
        <f t="shared" si="0"/>
        <v>0</v>
      </c>
      <c r="G6">
        <f t="shared" si="1"/>
        <v>0.5</v>
      </c>
      <c r="H6">
        <f t="shared" si="2"/>
        <v>0.5</v>
      </c>
      <c r="I6">
        <f t="shared" si="3"/>
        <v>1</v>
      </c>
      <c r="J6">
        <f t="shared" si="4"/>
        <v>-0.69314718055994529</v>
      </c>
    </row>
    <row r="7" spans="1:19" x14ac:dyDescent="0.3">
      <c r="A7" s="2">
        <v>6</v>
      </c>
      <c r="B7" s="2">
        <v>27</v>
      </c>
      <c r="C7" s="2">
        <v>5</v>
      </c>
      <c r="D7" s="2">
        <v>1</v>
      </c>
      <c r="E7" s="2">
        <v>0</v>
      </c>
      <c r="F7">
        <f t="shared" si="0"/>
        <v>0</v>
      </c>
      <c r="G7">
        <f t="shared" si="1"/>
        <v>0.5</v>
      </c>
      <c r="H7">
        <f t="shared" si="2"/>
        <v>0.5</v>
      </c>
      <c r="I7">
        <f t="shared" si="3"/>
        <v>1</v>
      </c>
      <c r="J7">
        <f t="shared" si="4"/>
        <v>-0.69314718055994529</v>
      </c>
    </row>
    <row r="8" spans="1:19" x14ac:dyDescent="0.3">
      <c r="A8" s="2">
        <v>7</v>
      </c>
      <c r="B8" s="2">
        <v>54</v>
      </c>
      <c r="C8" s="2">
        <v>17</v>
      </c>
      <c r="D8" s="2">
        <v>4</v>
      </c>
      <c r="E8" s="2">
        <v>0</v>
      </c>
      <c r="F8">
        <f t="shared" si="0"/>
        <v>0</v>
      </c>
      <c r="G8">
        <f t="shared" si="1"/>
        <v>0.5</v>
      </c>
      <c r="H8">
        <f t="shared" si="2"/>
        <v>0.5</v>
      </c>
      <c r="I8">
        <f t="shared" si="3"/>
        <v>1</v>
      </c>
      <c r="J8">
        <f t="shared" si="4"/>
        <v>-0.69314718055994529</v>
      </c>
    </row>
    <row r="9" spans="1:19" x14ac:dyDescent="0.3">
      <c r="A9" s="2">
        <v>8</v>
      </c>
      <c r="B9" s="2">
        <v>58</v>
      </c>
      <c r="C9" s="2">
        <v>12</v>
      </c>
      <c r="D9" s="2">
        <v>5</v>
      </c>
      <c r="E9" s="2">
        <v>1</v>
      </c>
      <c r="F9">
        <f t="shared" si="0"/>
        <v>0</v>
      </c>
      <c r="G9">
        <f t="shared" si="1"/>
        <v>0.5</v>
      </c>
      <c r="H9">
        <f t="shared" si="2"/>
        <v>0.5</v>
      </c>
      <c r="I9">
        <f t="shared" si="3"/>
        <v>1</v>
      </c>
      <c r="J9">
        <f t="shared" si="4"/>
        <v>-0.69314718055994529</v>
      </c>
    </row>
    <row r="10" spans="1:19" x14ac:dyDescent="0.3">
      <c r="A10" s="2">
        <v>9</v>
      </c>
      <c r="B10" s="2">
        <v>31</v>
      </c>
      <c r="C10" s="2">
        <v>9</v>
      </c>
      <c r="D10" s="2">
        <v>3</v>
      </c>
      <c r="E10" s="2">
        <v>0</v>
      </c>
      <c r="F10">
        <f t="shared" si="0"/>
        <v>0</v>
      </c>
      <c r="G10">
        <f t="shared" si="1"/>
        <v>0.5</v>
      </c>
      <c r="H10">
        <f t="shared" si="2"/>
        <v>0.5</v>
      </c>
      <c r="I10">
        <f t="shared" si="3"/>
        <v>1</v>
      </c>
      <c r="J10">
        <f t="shared" si="4"/>
        <v>-0.69314718055994529</v>
      </c>
    </row>
    <row r="11" spans="1:19" x14ac:dyDescent="0.3">
      <c r="A11" s="2">
        <v>10</v>
      </c>
      <c r="B11" s="2">
        <v>34</v>
      </c>
      <c r="C11" s="2">
        <v>12</v>
      </c>
      <c r="D11" s="2">
        <v>1</v>
      </c>
      <c r="E11" s="2">
        <v>1</v>
      </c>
      <c r="F11">
        <f t="shared" si="0"/>
        <v>0</v>
      </c>
      <c r="G11">
        <f t="shared" si="1"/>
        <v>0.5</v>
      </c>
      <c r="H11">
        <f t="shared" si="2"/>
        <v>0.5</v>
      </c>
      <c r="I11">
        <f t="shared" si="3"/>
        <v>1</v>
      </c>
      <c r="J11">
        <f t="shared" si="4"/>
        <v>-0.69314718055994529</v>
      </c>
    </row>
    <row r="12" spans="1:19" x14ac:dyDescent="0.3">
      <c r="A12" s="2">
        <v>11</v>
      </c>
      <c r="B12" s="2">
        <v>55</v>
      </c>
      <c r="C12" s="2">
        <v>10</v>
      </c>
      <c r="D12" s="2">
        <v>1</v>
      </c>
      <c r="E12" s="2">
        <v>0</v>
      </c>
      <c r="F12">
        <f t="shared" si="0"/>
        <v>0</v>
      </c>
      <c r="G12">
        <f t="shared" si="1"/>
        <v>0.5</v>
      </c>
      <c r="H12">
        <f t="shared" si="2"/>
        <v>0.5</v>
      </c>
      <c r="I12">
        <f t="shared" si="3"/>
        <v>1</v>
      </c>
      <c r="J12">
        <f t="shared" si="4"/>
        <v>-0.69314718055994529</v>
      </c>
    </row>
    <row r="13" spans="1:19" x14ac:dyDescent="0.3">
      <c r="A13" s="2">
        <v>12</v>
      </c>
      <c r="B13" s="2">
        <v>38</v>
      </c>
      <c r="C13" s="2">
        <v>16</v>
      </c>
      <c r="D13" s="2">
        <v>2</v>
      </c>
      <c r="E13" s="2">
        <v>0</v>
      </c>
      <c r="F13">
        <f t="shared" si="0"/>
        <v>0</v>
      </c>
      <c r="G13">
        <f t="shared" si="1"/>
        <v>0.5</v>
      </c>
      <c r="H13">
        <f t="shared" si="2"/>
        <v>0.5</v>
      </c>
      <c r="I13">
        <f t="shared" si="3"/>
        <v>1</v>
      </c>
      <c r="J13">
        <f t="shared" si="4"/>
        <v>-0.69314718055994529</v>
      </c>
    </row>
    <row r="14" spans="1:19" x14ac:dyDescent="0.3">
      <c r="A14" s="2">
        <v>13</v>
      </c>
      <c r="B14" s="2">
        <v>32</v>
      </c>
      <c r="C14" s="2">
        <v>10</v>
      </c>
      <c r="D14" s="2">
        <v>4</v>
      </c>
      <c r="E14" s="2">
        <v>0</v>
      </c>
      <c r="F14">
        <f t="shared" si="0"/>
        <v>0</v>
      </c>
      <c r="G14">
        <f t="shared" si="1"/>
        <v>0.5</v>
      </c>
      <c r="H14">
        <f t="shared" si="2"/>
        <v>0.5</v>
      </c>
      <c r="I14">
        <f t="shared" si="3"/>
        <v>1</v>
      </c>
      <c r="J14">
        <f t="shared" si="4"/>
        <v>-0.69314718055994529</v>
      </c>
    </row>
    <row r="15" spans="1:19" x14ac:dyDescent="0.3">
      <c r="A15" s="2">
        <v>14</v>
      </c>
      <c r="B15" s="2">
        <v>54</v>
      </c>
      <c r="C15" s="2">
        <v>1</v>
      </c>
      <c r="D15" s="2">
        <v>2</v>
      </c>
      <c r="E15" s="2">
        <v>0</v>
      </c>
      <c r="F15">
        <f t="shared" si="0"/>
        <v>0</v>
      </c>
      <c r="G15">
        <f t="shared" si="1"/>
        <v>0.5</v>
      </c>
      <c r="H15">
        <f t="shared" si="2"/>
        <v>0.5</v>
      </c>
      <c r="I15">
        <f t="shared" si="3"/>
        <v>1</v>
      </c>
      <c r="J15">
        <f t="shared" si="4"/>
        <v>-0.69314718055994529</v>
      </c>
    </row>
    <row r="16" spans="1:19" x14ac:dyDescent="0.3">
      <c r="A16" s="2">
        <v>15</v>
      </c>
      <c r="B16" s="2">
        <v>32</v>
      </c>
      <c r="C16" s="2">
        <v>3</v>
      </c>
      <c r="D16" s="2">
        <v>1</v>
      </c>
      <c r="E16" s="2">
        <v>0</v>
      </c>
      <c r="F16">
        <f t="shared" si="0"/>
        <v>0</v>
      </c>
      <c r="G16">
        <f t="shared" si="1"/>
        <v>0.5</v>
      </c>
      <c r="H16">
        <f t="shared" si="2"/>
        <v>0.5</v>
      </c>
      <c r="I16">
        <f t="shared" si="3"/>
        <v>1</v>
      </c>
      <c r="J16">
        <f t="shared" si="4"/>
        <v>-0.69314718055994529</v>
      </c>
    </row>
    <row r="17" spans="1:10" x14ac:dyDescent="0.3">
      <c r="A17" s="2">
        <v>16</v>
      </c>
      <c r="B17" s="2">
        <v>37</v>
      </c>
      <c r="C17" s="2">
        <v>11</v>
      </c>
      <c r="D17" s="2">
        <v>4</v>
      </c>
      <c r="E17" s="2">
        <v>0</v>
      </c>
      <c r="F17">
        <f t="shared" si="0"/>
        <v>0</v>
      </c>
      <c r="G17">
        <f t="shared" si="1"/>
        <v>0.5</v>
      </c>
      <c r="H17">
        <f t="shared" si="2"/>
        <v>0.5</v>
      </c>
      <c r="I17">
        <f t="shared" si="3"/>
        <v>1</v>
      </c>
      <c r="J17">
        <f t="shared" si="4"/>
        <v>-0.69314718055994529</v>
      </c>
    </row>
    <row r="18" spans="1:10" x14ac:dyDescent="0.3">
      <c r="A18" s="2">
        <v>17</v>
      </c>
      <c r="B18" s="2">
        <v>47</v>
      </c>
      <c r="C18" s="2">
        <v>17</v>
      </c>
      <c r="D18" s="2">
        <v>4</v>
      </c>
      <c r="E18" s="2">
        <v>0</v>
      </c>
      <c r="F18">
        <f t="shared" si="0"/>
        <v>0</v>
      </c>
      <c r="G18">
        <f t="shared" si="1"/>
        <v>0.5</v>
      </c>
      <c r="H18">
        <f t="shared" si="2"/>
        <v>0.5</v>
      </c>
      <c r="I18">
        <f t="shared" si="3"/>
        <v>1</v>
      </c>
      <c r="J18">
        <f t="shared" si="4"/>
        <v>-0.69314718055994529</v>
      </c>
    </row>
    <row r="19" spans="1:10" x14ac:dyDescent="0.3">
      <c r="A19" s="2">
        <v>18</v>
      </c>
      <c r="B19" s="2">
        <v>43</v>
      </c>
      <c r="C19" s="2">
        <v>1</v>
      </c>
      <c r="D19" s="2">
        <v>1</v>
      </c>
      <c r="E19" s="2">
        <v>1</v>
      </c>
      <c r="F19">
        <f t="shared" si="0"/>
        <v>0</v>
      </c>
      <c r="G19">
        <f t="shared" si="1"/>
        <v>0.5</v>
      </c>
      <c r="H19">
        <f t="shared" si="2"/>
        <v>0.5</v>
      </c>
      <c r="I19">
        <f t="shared" si="3"/>
        <v>1</v>
      </c>
      <c r="J19">
        <f t="shared" si="4"/>
        <v>-0.69314718055994529</v>
      </c>
    </row>
    <row r="20" spans="1:10" x14ac:dyDescent="0.3">
      <c r="A20" s="2">
        <v>19</v>
      </c>
      <c r="B20" s="2">
        <v>25</v>
      </c>
      <c r="C20" s="2">
        <v>3</v>
      </c>
      <c r="D20" s="2">
        <v>3</v>
      </c>
      <c r="E20" s="2">
        <v>0</v>
      </c>
      <c r="F20">
        <f t="shared" si="0"/>
        <v>0</v>
      </c>
      <c r="G20">
        <f t="shared" si="1"/>
        <v>0.5</v>
      </c>
      <c r="H20">
        <f t="shared" si="2"/>
        <v>0.5</v>
      </c>
      <c r="I20">
        <f t="shared" si="3"/>
        <v>1</v>
      </c>
      <c r="J20">
        <f t="shared" si="4"/>
        <v>-0.69314718055994529</v>
      </c>
    </row>
    <row r="21" spans="1:10" x14ac:dyDescent="0.3">
      <c r="A21" s="2">
        <v>20</v>
      </c>
      <c r="B21" s="2">
        <v>23</v>
      </c>
      <c r="C21" s="2">
        <v>1</v>
      </c>
      <c r="D21" s="2">
        <v>2</v>
      </c>
      <c r="E21" s="2">
        <v>0</v>
      </c>
      <c r="F21">
        <f t="shared" si="0"/>
        <v>0</v>
      </c>
      <c r="G21">
        <f t="shared" si="1"/>
        <v>0.5</v>
      </c>
      <c r="H21">
        <f t="shared" si="2"/>
        <v>0.5</v>
      </c>
      <c r="I21">
        <f t="shared" si="3"/>
        <v>1</v>
      </c>
      <c r="J21">
        <f t="shared" si="4"/>
        <v>-0.69314718055994529</v>
      </c>
    </row>
    <row r="22" spans="1:10" x14ac:dyDescent="0.3">
      <c r="A22" s="2">
        <v>21</v>
      </c>
      <c r="B22" s="2">
        <v>55</v>
      </c>
      <c r="C22" s="2">
        <v>16</v>
      </c>
      <c r="D22" s="2">
        <v>3</v>
      </c>
      <c r="E22" s="2">
        <v>1</v>
      </c>
      <c r="F22">
        <f t="shared" si="0"/>
        <v>0</v>
      </c>
      <c r="G22">
        <f t="shared" si="1"/>
        <v>0.5</v>
      </c>
      <c r="H22">
        <f t="shared" si="2"/>
        <v>0.5</v>
      </c>
      <c r="I22">
        <f t="shared" si="3"/>
        <v>1</v>
      </c>
      <c r="J22">
        <f t="shared" si="4"/>
        <v>-0.69314718055994529</v>
      </c>
    </row>
    <row r="23" spans="1:10" x14ac:dyDescent="0.3">
      <c r="A23" s="2">
        <v>22</v>
      </c>
      <c r="B23" s="2">
        <v>51</v>
      </c>
      <c r="C23" s="2">
        <v>18</v>
      </c>
      <c r="D23" s="2">
        <v>1</v>
      </c>
      <c r="E23" s="2">
        <v>1</v>
      </c>
      <c r="F23">
        <f t="shared" si="0"/>
        <v>0</v>
      </c>
      <c r="G23">
        <f t="shared" si="1"/>
        <v>0.5</v>
      </c>
      <c r="H23">
        <f t="shared" si="2"/>
        <v>0.5</v>
      </c>
      <c r="I23">
        <f t="shared" si="3"/>
        <v>1</v>
      </c>
      <c r="J23">
        <f t="shared" si="4"/>
        <v>-0.69314718055994529</v>
      </c>
    </row>
    <row r="24" spans="1:10" x14ac:dyDescent="0.3">
      <c r="A24" s="2">
        <v>23</v>
      </c>
      <c r="B24" s="2">
        <v>54</v>
      </c>
      <c r="C24" s="2">
        <v>4</v>
      </c>
      <c r="D24" s="2">
        <v>4</v>
      </c>
      <c r="E24" s="2">
        <v>1</v>
      </c>
      <c r="F24">
        <f t="shared" si="0"/>
        <v>0</v>
      </c>
      <c r="G24">
        <f t="shared" si="1"/>
        <v>0.5</v>
      </c>
      <c r="H24">
        <f t="shared" si="2"/>
        <v>0.5</v>
      </c>
      <c r="I24">
        <f t="shared" si="3"/>
        <v>1</v>
      </c>
      <c r="J24">
        <f t="shared" si="4"/>
        <v>-0.69314718055994529</v>
      </c>
    </row>
    <row r="25" spans="1:10" x14ac:dyDescent="0.3">
      <c r="A25" s="2">
        <v>24</v>
      </c>
      <c r="B25" s="2">
        <v>42</v>
      </c>
      <c r="C25" s="2">
        <v>11</v>
      </c>
      <c r="D25" s="2">
        <v>2</v>
      </c>
      <c r="E25" s="2">
        <v>0</v>
      </c>
      <c r="F25">
        <f t="shared" si="0"/>
        <v>0</v>
      </c>
      <c r="G25">
        <f t="shared" si="1"/>
        <v>0.5</v>
      </c>
      <c r="H25">
        <f t="shared" si="2"/>
        <v>0.5</v>
      </c>
      <c r="I25">
        <f t="shared" si="3"/>
        <v>1</v>
      </c>
      <c r="J25">
        <f t="shared" si="4"/>
        <v>-0.69314718055994529</v>
      </c>
    </row>
    <row r="26" spans="1:10" x14ac:dyDescent="0.3">
      <c r="A26" s="2">
        <v>25</v>
      </c>
      <c r="B26" s="2">
        <v>53</v>
      </c>
      <c r="C26" s="2">
        <v>16</v>
      </c>
      <c r="D26" s="2">
        <v>3</v>
      </c>
      <c r="E26" s="2">
        <v>0</v>
      </c>
      <c r="F26">
        <f t="shared" si="0"/>
        <v>0</v>
      </c>
      <c r="G26">
        <f t="shared" si="1"/>
        <v>0.5</v>
      </c>
      <c r="H26">
        <f t="shared" si="2"/>
        <v>0.5</v>
      </c>
      <c r="I26">
        <f t="shared" si="3"/>
        <v>1</v>
      </c>
      <c r="J26">
        <f t="shared" si="4"/>
        <v>-0.69314718055994529</v>
      </c>
    </row>
    <row r="27" spans="1:10" x14ac:dyDescent="0.3">
      <c r="A27" s="2">
        <v>26</v>
      </c>
      <c r="B27" s="2">
        <v>34</v>
      </c>
      <c r="C27" s="2">
        <v>7</v>
      </c>
      <c r="D27" s="2">
        <v>3</v>
      </c>
      <c r="E27" s="2">
        <v>1</v>
      </c>
      <c r="F27">
        <f t="shared" si="0"/>
        <v>0</v>
      </c>
      <c r="G27">
        <f t="shared" si="1"/>
        <v>0.5</v>
      </c>
      <c r="H27">
        <f t="shared" si="2"/>
        <v>0.5</v>
      </c>
      <c r="I27">
        <f t="shared" si="3"/>
        <v>1</v>
      </c>
      <c r="J27">
        <f t="shared" si="4"/>
        <v>-0.69314718055994529</v>
      </c>
    </row>
    <row r="28" spans="1:10" x14ac:dyDescent="0.3">
      <c r="A28" s="2">
        <v>27</v>
      </c>
      <c r="B28" s="2">
        <v>39</v>
      </c>
      <c r="C28" s="2">
        <v>4</v>
      </c>
      <c r="D28" s="2">
        <v>4</v>
      </c>
      <c r="E28" s="2">
        <v>0</v>
      </c>
      <c r="F28">
        <f t="shared" si="0"/>
        <v>0</v>
      </c>
      <c r="G28">
        <f t="shared" si="1"/>
        <v>0.5</v>
      </c>
      <c r="H28">
        <f t="shared" si="2"/>
        <v>0.5</v>
      </c>
      <c r="I28">
        <f t="shared" si="3"/>
        <v>1</v>
      </c>
      <c r="J28">
        <f t="shared" si="4"/>
        <v>-0.69314718055994529</v>
      </c>
    </row>
    <row r="29" spans="1:10" x14ac:dyDescent="0.3">
      <c r="A29" s="2">
        <v>28</v>
      </c>
      <c r="B29" s="2">
        <v>52</v>
      </c>
      <c r="C29" s="2">
        <v>10</v>
      </c>
      <c r="D29" s="2">
        <v>1</v>
      </c>
      <c r="E29" s="2">
        <v>1</v>
      </c>
      <c r="F29">
        <f t="shared" si="0"/>
        <v>0</v>
      </c>
      <c r="G29">
        <f t="shared" si="1"/>
        <v>0.5</v>
      </c>
      <c r="H29">
        <f t="shared" si="2"/>
        <v>0.5</v>
      </c>
      <c r="I29">
        <f t="shared" si="3"/>
        <v>1</v>
      </c>
      <c r="J29">
        <f t="shared" si="4"/>
        <v>-0.69314718055994529</v>
      </c>
    </row>
    <row r="30" spans="1:10" x14ac:dyDescent="0.3">
      <c r="A30" s="2">
        <v>29</v>
      </c>
      <c r="B30" s="2">
        <v>26</v>
      </c>
      <c r="C30" s="2">
        <v>1</v>
      </c>
      <c r="D30" s="2">
        <v>2</v>
      </c>
      <c r="E30" s="2">
        <v>1</v>
      </c>
      <c r="F30">
        <f t="shared" si="0"/>
        <v>0</v>
      </c>
      <c r="G30">
        <f t="shared" si="1"/>
        <v>0.5</v>
      </c>
      <c r="H30">
        <f t="shared" si="2"/>
        <v>0.5</v>
      </c>
      <c r="I30">
        <f t="shared" si="3"/>
        <v>1</v>
      </c>
      <c r="J30">
        <f t="shared" si="4"/>
        <v>-0.69314718055994529</v>
      </c>
    </row>
    <row r="31" spans="1:10" x14ac:dyDescent="0.3">
      <c r="A31" s="2">
        <v>30</v>
      </c>
      <c r="B31" s="2">
        <v>33</v>
      </c>
      <c r="C31" s="2">
        <v>4</v>
      </c>
      <c r="D31" s="2">
        <v>4</v>
      </c>
      <c r="E31" s="2">
        <v>0</v>
      </c>
      <c r="F31">
        <f t="shared" si="0"/>
        <v>0</v>
      </c>
      <c r="G31">
        <f t="shared" si="1"/>
        <v>0.5</v>
      </c>
      <c r="H31">
        <f t="shared" si="2"/>
        <v>0.5</v>
      </c>
      <c r="I31">
        <f t="shared" si="3"/>
        <v>1</v>
      </c>
      <c r="J31">
        <f t="shared" si="4"/>
        <v>-0.69314718055994529</v>
      </c>
    </row>
    <row r="32" spans="1:10" x14ac:dyDescent="0.3">
      <c r="A32" s="2">
        <v>31</v>
      </c>
      <c r="B32" s="2">
        <v>26</v>
      </c>
      <c r="C32" s="2">
        <v>4</v>
      </c>
      <c r="D32" s="2">
        <v>4</v>
      </c>
      <c r="E32" s="2">
        <v>0</v>
      </c>
      <c r="F32">
        <f t="shared" si="0"/>
        <v>0</v>
      </c>
      <c r="G32">
        <f t="shared" si="1"/>
        <v>0.5</v>
      </c>
      <c r="H32">
        <f t="shared" si="2"/>
        <v>0.5</v>
      </c>
      <c r="I32">
        <f t="shared" si="3"/>
        <v>1</v>
      </c>
      <c r="J32">
        <f t="shared" si="4"/>
        <v>-0.69314718055994529</v>
      </c>
    </row>
    <row r="33" spans="1:10" x14ac:dyDescent="0.3">
      <c r="A33" s="2">
        <v>32</v>
      </c>
      <c r="B33" s="2">
        <v>39</v>
      </c>
      <c r="C33" s="2">
        <v>14</v>
      </c>
      <c r="D33" s="2">
        <v>2</v>
      </c>
      <c r="E33" s="2">
        <v>0</v>
      </c>
      <c r="F33">
        <f t="shared" si="0"/>
        <v>0</v>
      </c>
      <c r="G33">
        <f t="shared" si="1"/>
        <v>0.5</v>
      </c>
      <c r="H33">
        <f t="shared" si="2"/>
        <v>0.5</v>
      </c>
      <c r="I33">
        <f t="shared" si="3"/>
        <v>1</v>
      </c>
      <c r="J33">
        <f t="shared" si="4"/>
        <v>-0.69314718055994529</v>
      </c>
    </row>
    <row r="34" spans="1:10" x14ac:dyDescent="0.3">
      <c r="A34" s="2">
        <v>33</v>
      </c>
      <c r="B34" s="2">
        <v>60</v>
      </c>
      <c r="C34" s="2">
        <v>18</v>
      </c>
      <c r="D34" s="2">
        <v>1</v>
      </c>
      <c r="E34" s="2">
        <v>1</v>
      </c>
      <c r="F34">
        <f t="shared" si="0"/>
        <v>0</v>
      </c>
      <c r="G34">
        <f t="shared" si="1"/>
        <v>0.5</v>
      </c>
      <c r="H34">
        <f t="shared" si="2"/>
        <v>0.5</v>
      </c>
      <c r="I34">
        <f t="shared" si="3"/>
        <v>1</v>
      </c>
      <c r="J34">
        <f t="shared" si="4"/>
        <v>-0.69314718055994529</v>
      </c>
    </row>
    <row r="35" spans="1:10" x14ac:dyDescent="0.3">
      <c r="A35" s="2">
        <v>34</v>
      </c>
      <c r="B35" s="2">
        <v>27</v>
      </c>
      <c r="C35" s="2">
        <v>5</v>
      </c>
      <c r="D35" s="2">
        <v>4</v>
      </c>
      <c r="E35" s="2">
        <v>0</v>
      </c>
      <c r="F35">
        <f t="shared" si="0"/>
        <v>0</v>
      </c>
      <c r="G35">
        <f t="shared" si="1"/>
        <v>0.5</v>
      </c>
      <c r="H35">
        <f t="shared" si="2"/>
        <v>0.5</v>
      </c>
      <c r="I35">
        <f t="shared" si="3"/>
        <v>1</v>
      </c>
      <c r="J35">
        <f t="shared" si="4"/>
        <v>-0.69314718055994529</v>
      </c>
    </row>
    <row r="36" spans="1:10" x14ac:dyDescent="0.3">
      <c r="A36" s="2">
        <v>35</v>
      </c>
      <c r="B36" s="2">
        <v>36</v>
      </c>
      <c r="C36" s="2">
        <v>14</v>
      </c>
      <c r="D36" s="2">
        <v>3</v>
      </c>
      <c r="E36" s="2">
        <v>0</v>
      </c>
      <c r="F36">
        <f t="shared" si="0"/>
        <v>0</v>
      </c>
      <c r="G36">
        <f t="shared" si="1"/>
        <v>0.5</v>
      </c>
      <c r="H36">
        <f t="shared" si="2"/>
        <v>0.5</v>
      </c>
      <c r="I36">
        <f t="shared" si="3"/>
        <v>1</v>
      </c>
      <c r="J36">
        <f t="shared" si="4"/>
        <v>-0.69314718055994529</v>
      </c>
    </row>
    <row r="37" spans="1:10" x14ac:dyDescent="0.3">
      <c r="A37" s="2">
        <v>36</v>
      </c>
      <c r="B37" s="2">
        <v>37</v>
      </c>
      <c r="C37" s="2">
        <v>6</v>
      </c>
      <c r="D37" s="2">
        <v>4</v>
      </c>
      <c r="E37" s="2">
        <v>0</v>
      </c>
      <c r="F37">
        <f t="shared" si="0"/>
        <v>0</v>
      </c>
      <c r="G37">
        <f t="shared" si="1"/>
        <v>0.5</v>
      </c>
      <c r="H37">
        <f t="shared" si="2"/>
        <v>0.5</v>
      </c>
      <c r="I37">
        <f t="shared" si="3"/>
        <v>1</v>
      </c>
      <c r="J37">
        <f t="shared" si="4"/>
        <v>-0.69314718055994529</v>
      </c>
    </row>
    <row r="38" spans="1:10" x14ac:dyDescent="0.3">
      <c r="A38" s="2">
        <v>37</v>
      </c>
      <c r="B38" s="2">
        <v>57</v>
      </c>
      <c r="C38" s="2">
        <v>9</v>
      </c>
      <c r="D38" s="2">
        <v>1</v>
      </c>
      <c r="E38" s="2">
        <v>0</v>
      </c>
      <c r="F38">
        <f t="shared" si="0"/>
        <v>0</v>
      </c>
      <c r="G38">
        <f t="shared" si="1"/>
        <v>0.5</v>
      </c>
      <c r="H38">
        <f t="shared" si="2"/>
        <v>0.5</v>
      </c>
      <c r="I38">
        <f t="shared" si="3"/>
        <v>1</v>
      </c>
      <c r="J38">
        <f t="shared" si="4"/>
        <v>-0.69314718055994529</v>
      </c>
    </row>
    <row r="39" spans="1:10" x14ac:dyDescent="0.3">
      <c r="A39" s="2">
        <v>38</v>
      </c>
      <c r="B39" s="2">
        <v>29</v>
      </c>
      <c r="C39" s="2">
        <v>7</v>
      </c>
      <c r="D39" s="2">
        <v>3</v>
      </c>
      <c r="E39" s="2">
        <v>0</v>
      </c>
      <c r="F39">
        <f t="shared" si="0"/>
        <v>0</v>
      </c>
      <c r="G39">
        <f t="shared" si="1"/>
        <v>0.5</v>
      </c>
      <c r="H39">
        <f t="shared" si="2"/>
        <v>0.5</v>
      </c>
      <c r="I39">
        <f t="shared" si="3"/>
        <v>1</v>
      </c>
      <c r="J39">
        <f t="shared" si="4"/>
        <v>-0.69314718055994529</v>
      </c>
    </row>
    <row r="40" spans="1:10" x14ac:dyDescent="0.3">
      <c r="A40" s="2">
        <v>39</v>
      </c>
      <c r="B40" s="2">
        <v>41</v>
      </c>
      <c r="C40" s="2">
        <v>5</v>
      </c>
      <c r="D40" s="2">
        <v>5</v>
      </c>
      <c r="E40" s="2">
        <v>0</v>
      </c>
      <c r="F40">
        <f t="shared" si="0"/>
        <v>0</v>
      </c>
      <c r="G40">
        <f t="shared" si="1"/>
        <v>0.5</v>
      </c>
      <c r="H40">
        <f t="shared" si="2"/>
        <v>0.5</v>
      </c>
      <c r="I40">
        <f t="shared" si="3"/>
        <v>1</v>
      </c>
      <c r="J40">
        <f t="shared" si="4"/>
        <v>-0.69314718055994529</v>
      </c>
    </row>
    <row r="41" spans="1:10" x14ac:dyDescent="0.3">
      <c r="A41" s="2">
        <v>40</v>
      </c>
      <c r="B41" s="2">
        <v>32</v>
      </c>
      <c r="C41" s="2">
        <v>10</v>
      </c>
      <c r="D41" s="2">
        <v>5</v>
      </c>
      <c r="E41" s="2">
        <v>0</v>
      </c>
      <c r="F41">
        <f t="shared" si="0"/>
        <v>0</v>
      </c>
      <c r="G41">
        <f t="shared" si="1"/>
        <v>0.5</v>
      </c>
      <c r="H41">
        <f t="shared" si="2"/>
        <v>0.5</v>
      </c>
      <c r="I41">
        <f t="shared" si="3"/>
        <v>1</v>
      </c>
      <c r="J41">
        <f t="shared" si="4"/>
        <v>-0.69314718055994529</v>
      </c>
    </row>
    <row r="42" spans="1:10" x14ac:dyDescent="0.3">
      <c r="A42" s="2">
        <v>41</v>
      </c>
      <c r="B42" s="2">
        <v>22</v>
      </c>
      <c r="C42" s="2">
        <v>0</v>
      </c>
      <c r="D42" s="2">
        <v>2</v>
      </c>
      <c r="E42" s="2">
        <v>0</v>
      </c>
      <c r="F42">
        <f t="shared" si="0"/>
        <v>0</v>
      </c>
      <c r="G42">
        <f t="shared" si="1"/>
        <v>0.5</v>
      </c>
      <c r="H42">
        <f t="shared" si="2"/>
        <v>0.5</v>
      </c>
      <c r="I42">
        <f t="shared" si="3"/>
        <v>1</v>
      </c>
      <c r="J42">
        <f t="shared" si="4"/>
        <v>-0.69314718055994529</v>
      </c>
    </row>
    <row r="43" spans="1:10" x14ac:dyDescent="0.3">
      <c r="A43" s="2">
        <v>42</v>
      </c>
      <c r="B43" s="2">
        <v>51</v>
      </c>
      <c r="C43" s="2">
        <v>17</v>
      </c>
      <c r="D43" s="2">
        <v>4</v>
      </c>
      <c r="E43" s="2">
        <v>0</v>
      </c>
      <c r="F43">
        <f t="shared" si="0"/>
        <v>0</v>
      </c>
      <c r="G43">
        <f t="shared" si="1"/>
        <v>0.5</v>
      </c>
      <c r="H43">
        <f t="shared" si="2"/>
        <v>0.5</v>
      </c>
      <c r="I43">
        <f t="shared" si="3"/>
        <v>1</v>
      </c>
      <c r="J43">
        <f t="shared" si="4"/>
        <v>-0.69314718055994529</v>
      </c>
    </row>
    <row r="44" spans="1:10" x14ac:dyDescent="0.3">
      <c r="A44" s="2">
        <v>43</v>
      </c>
      <c r="B44" s="2">
        <v>24</v>
      </c>
      <c r="C44" s="2">
        <v>2</v>
      </c>
      <c r="D44" s="2">
        <v>1</v>
      </c>
      <c r="E44" s="2">
        <v>1</v>
      </c>
      <c r="F44">
        <f t="shared" si="0"/>
        <v>0</v>
      </c>
      <c r="G44">
        <f t="shared" si="1"/>
        <v>0.5</v>
      </c>
      <c r="H44">
        <f t="shared" si="2"/>
        <v>0.5</v>
      </c>
      <c r="I44">
        <f t="shared" si="3"/>
        <v>1</v>
      </c>
      <c r="J44">
        <f t="shared" si="4"/>
        <v>-0.69314718055994529</v>
      </c>
    </row>
    <row r="45" spans="1:10" x14ac:dyDescent="0.3">
      <c r="A45" s="2">
        <v>44</v>
      </c>
      <c r="B45" s="2">
        <v>32</v>
      </c>
      <c r="C45" s="2">
        <v>5</v>
      </c>
      <c r="D45" s="2">
        <v>5</v>
      </c>
      <c r="E45" s="2">
        <v>0</v>
      </c>
      <c r="F45">
        <f t="shared" si="0"/>
        <v>0</v>
      </c>
      <c r="G45">
        <f t="shared" si="1"/>
        <v>0.5</v>
      </c>
      <c r="H45">
        <f t="shared" si="2"/>
        <v>0.5</v>
      </c>
      <c r="I45">
        <f t="shared" si="3"/>
        <v>1</v>
      </c>
      <c r="J45">
        <f t="shared" si="4"/>
        <v>-0.69314718055994529</v>
      </c>
    </row>
    <row r="46" spans="1:10" x14ac:dyDescent="0.3">
      <c r="A46" s="2">
        <v>45</v>
      </c>
      <c r="B46" s="2">
        <v>41</v>
      </c>
      <c r="C46" s="2">
        <v>15</v>
      </c>
      <c r="D46" s="2">
        <v>2</v>
      </c>
      <c r="E46" s="2">
        <v>1</v>
      </c>
      <c r="F46">
        <f t="shared" si="0"/>
        <v>0</v>
      </c>
      <c r="G46">
        <f t="shared" si="1"/>
        <v>0.5</v>
      </c>
      <c r="H46">
        <f t="shared" si="2"/>
        <v>0.5</v>
      </c>
      <c r="I46">
        <f t="shared" si="3"/>
        <v>1</v>
      </c>
      <c r="J46">
        <f t="shared" si="4"/>
        <v>-0.69314718055994529</v>
      </c>
    </row>
    <row r="47" spans="1:10" x14ac:dyDescent="0.3">
      <c r="A47" s="2">
        <v>46</v>
      </c>
      <c r="B47" s="2">
        <v>40</v>
      </c>
      <c r="C47" s="2">
        <v>8</v>
      </c>
      <c r="D47" s="2">
        <v>2</v>
      </c>
      <c r="E47" s="2">
        <v>1</v>
      </c>
      <c r="F47">
        <f t="shared" si="0"/>
        <v>0</v>
      </c>
      <c r="G47">
        <f t="shared" si="1"/>
        <v>0.5</v>
      </c>
      <c r="H47">
        <f t="shared" si="2"/>
        <v>0.5</v>
      </c>
      <c r="I47">
        <f t="shared" si="3"/>
        <v>1</v>
      </c>
      <c r="J47">
        <f t="shared" si="4"/>
        <v>-0.69314718055994529</v>
      </c>
    </row>
    <row r="48" spans="1:10" x14ac:dyDescent="0.3">
      <c r="A48" s="2">
        <v>47</v>
      </c>
      <c r="B48" s="2">
        <v>26</v>
      </c>
      <c r="C48" s="2">
        <v>4</v>
      </c>
      <c r="D48" s="2">
        <v>5</v>
      </c>
      <c r="E48" s="2">
        <v>0</v>
      </c>
      <c r="F48">
        <f t="shared" si="0"/>
        <v>0</v>
      </c>
      <c r="G48">
        <f t="shared" si="1"/>
        <v>0.5</v>
      </c>
      <c r="H48">
        <f t="shared" si="2"/>
        <v>0.5</v>
      </c>
      <c r="I48">
        <f t="shared" si="3"/>
        <v>1</v>
      </c>
      <c r="J48">
        <f t="shared" si="4"/>
        <v>-0.69314718055994529</v>
      </c>
    </row>
    <row r="49" spans="1:10" x14ac:dyDescent="0.3">
      <c r="A49" s="2">
        <v>48</v>
      </c>
      <c r="B49" s="2">
        <v>60</v>
      </c>
      <c r="C49" s="2">
        <v>20</v>
      </c>
      <c r="D49" s="2">
        <v>3</v>
      </c>
      <c r="E49" s="2">
        <v>0</v>
      </c>
      <c r="F49">
        <f t="shared" si="0"/>
        <v>0</v>
      </c>
      <c r="G49">
        <f t="shared" si="1"/>
        <v>0.5</v>
      </c>
      <c r="H49">
        <f t="shared" si="2"/>
        <v>0.5</v>
      </c>
      <c r="I49">
        <f t="shared" si="3"/>
        <v>1</v>
      </c>
      <c r="J49">
        <f t="shared" si="4"/>
        <v>-0.69314718055994529</v>
      </c>
    </row>
    <row r="50" spans="1:10" x14ac:dyDescent="0.3">
      <c r="A50" s="2">
        <v>49</v>
      </c>
      <c r="B50" s="2">
        <v>51</v>
      </c>
      <c r="C50" s="2">
        <v>5</v>
      </c>
      <c r="D50" s="2">
        <v>5</v>
      </c>
      <c r="E50" s="2">
        <v>0</v>
      </c>
      <c r="F50">
        <f t="shared" si="0"/>
        <v>0</v>
      </c>
      <c r="G50">
        <f t="shared" si="1"/>
        <v>0.5</v>
      </c>
      <c r="H50">
        <f t="shared" si="2"/>
        <v>0.5</v>
      </c>
      <c r="I50">
        <f t="shared" si="3"/>
        <v>1</v>
      </c>
      <c r="J50">
        <f t="shared" si="4"/>
        <v>-0.69314718055994529</v>
      </c>
    </row>
    <row r="51" spans="1:10" x14ac:dyDescent="0.3">
      <c r="A51" s="2">
        <v>50</v>
      </c>
      <c r="B51" s="2">
        <v>59</v>
      </c>
      <c r="C51" s="2">
        <v>9</v>
      </c>
      <c r="D51" s="2">
        <v>1</v>
      </c>
      <c r="E51" s="2">
        <v>1</v>
      </c>
      <c r="F51">
        <f t="shared" si="0"/>
        <v>0</v>
      </c>
      <c r="G51">
        <f t="shared" si="1"/>
        <v>0.5</v>
      </c>
      <c r="H51">
        <f t="shared" si="2"/>
        <v>0.5</v>
      </c>
      <c r="I51">
        <f t="shared" si="3"/>
        <v>1</v>
      </c>
      <c r="J51">
        <f t="shared" si="4"/>
        <v>-0.69314718055994529</v>
      </c>
    </row>
    <row r="52" spans="1:10" x14ac:dyDescent="0.3">
      <c r="A52" s="2">
        <v>51</v>
      </c>
      <c r="B52" s="2">
        <v>25</v>
      </c>
      <c r="C52" s="2">
        <v>3</v>
      </c>
      <c r="D52" s="2">
        <v>4</v>
      </c>
      <c r="E52" s="2">
        <v>0</v>
      </c>
      <c r="F52">
        <f t="shared" si="0"/>
        <v>0</v>
      </c>
      <c r="G52">
        <f t="shared" si="1"/>
        <v>0.5</v>
      </c>
      <c r="H52">
        <f t="shared" si="2"/>
        <v>0.5</v>
      </c>
      <c r="I52">
        <f t="shared" si="3"/>
        <v>1</v>
      </c>
      <c r="J52">
        <f t="shared" si="4"/>
        <v>-0.69314718055994529</v>
      </c>
    </row>
    <row r="53" spans="1:10" x14ac:dyDescent="0.3">
      <c r="A53" s="2">
        <v>52</v>
      </c>
      <c r="B53" s="2">
        <v>50</v>
      </c>
      <c r="C53" s="2">
        <v>14</v>
      </c>
      <c r="D53" s="2">
        <v>5</v>
      </c>
      <c r="E53" s="2">
        <v>0</v>
      </c>
      <c r="F53">
        <f t="shared" si="0"/>
        <v>0</v>
      </c>
      <c r="G53">
        <f t="shared" si="1"/>
        <v>0.5</v>
      </c>
      <c r="H53">
        <f t="shared" si="2"/>
        <v>0.5</v>
      </c>
      <c r="I53">
        <f t="shared" si="3"/>
        <v>1</v>
      </c>
      <c r="J53">
        <f t="shared" si="4"/>
        <v>-0.69314718055994529</v>
      </c>
    </row>
    <row r="54" spans="1:10" x14ac:dyDescent="0.3">
      <c r="A54" s="2">
        <v>53</v>
      </c>
      <c r="B54" s="2">
        <v>33</v>
      </c>
      <c r="C54" s="2">
        <v>11</v>
      </c>
      <c r="D54" s="2">
        <v>1</v>
      </c>
      <c r="E54" s="2">
        <v>0</v>
      </c>
      <c r="F54">
        <f t="shared" si="0"/>
        <v>0</v>
      </c>
      <c r="G54">
        <f t="shared" si="1"/>
        <v>0.5</v>
      </c>
      <c r="H54">
        <f t="shared" si="2"/>
        <v>0.5</v>
      </c>
      <c r="I54">
        <f t="shared" si="3"/>
        <v>1</v>
      </c>
      <c r="J54">
        <f t="shared" si="4"/>
        <v>-0.69314718055994529</v>
      </c>
    </row>
    <row r="55" spans="1:10" x14ac:dyDescent="0.3">
      <c r="A55" s="2">
        <v>54</v>
      </c>
      <c r="B55" s="2">
        <v>43</v>
      </c>
      <c r="C55" s="2">
        <v>17</v>
      </c>
      <c r="D55" s="2">
        <v>2</v>
      </c>
      <c r="E55" s="2">
        <v>1</v>
      </c>
      <c r="F55">
        <f t="shared" si="0"/>
        <v>0</v>
      </c>
      <c r="G55">
        <f t="shared" si="1"/>
        <v>0.5</v>
      </c>
      <c r="H55">
        <f t="shared" si="2"/>
        <v>0.5</v>
      </c>
      <c r="I55">
        <f t="shared" si="3"/>
        <v>1</v>
      </c>
      <c r="J55">
        <f t="shared" si="4"/>
        <v>-0.69314718055994529</v>
      </c>
    </row>
    <row r="56" spans="1:10" x14ac:dyDescent="0.3">
      <c r="A56" s="2">
        <v>55</v>
      </c>
      <c r="B56" s="2">
        <v>58</v>
      </c>
      <c r="C56" s="2">
        <v>16</v>
      </c>
      <c r="D56" s="2">
        <v>1</v>
      </c>
      <c r="E56" s="2">
        <v>1</v>
      </c>
      <c r="F56">
        <f t="shared" si="0"/>
        <v>0</v>
      </c>
      <c r="G56">
        <f t="shared" si="1"/>
        <v>0.5</v>
      </c>
      <c r="H56">
        <f t="shared" si="2"/>
        <v>0.5</v>
      </c>
      <c r="I56">
        <f t="shared" si="3"/>
        <v>1</v>
      </c>
      <c r="J56">
        <f t="shared" si="4"/>
        <v>-0.69314718055994529</v>
      </c>
    </row>
    <row r="57" spans="1:10" x14ac:dyDescent="0.3">
      <c r="A57" s="2">
        <v>56</v>
      </c>
      <c r="B57" s="2">
        <v>32</v>
      </c>
      <c r="C57" s="2">
        <v>10</v>
      </c>
      <c r="D57" s="2">
        <v>2</v>
      </c>
      <c r="E57" s="2">
        <v>1</v>
      </c>
      <c r="F57">
        <f t="shared" si="0"/>
        <v>0</v>
      </c>
      <c r="G57">
        <f t="shared" si="1"/>
        <v>0.5</v>
      </c>
      <c r="H57">
        <f t="shared" si="2"/>
        <v>0.5</v>
      </c>
      <c r="I57">
        <f t="shared" si="3"/>
        <v>1</v>
      </c>
      <c r="J57">
        <f t="shared" si="4"/>
        <v>-0.69314718055994529</v>
      </c>
    </row>
    <row r="58" spans="1:10" x14ac:dyDescent="0.3">
      <c r="A58" s="2">
        <v>57</v>
      </c>
      <c r="B58" s="2">
        <v>50</v>
      </c>
      <c r="C58" s="2">
        <v>20</v>
      </c>
      <c r="D58" s="2">
        <v>2</v>
      </c>
      <c r="E58" s="2">
        <v>0</v>
      </c>
      <c r="F58">
        <f t="shared" si="0"/>
        <v>0</v>
      </c>
      <c r="G58">
        <f t="shared" si="1"/>
        <v>0.5</v>
      </c>
      <c r="H58">
        <f t="shared" si="2"/>
        <v>0.5</v>
      </c>
      <c r="I58">
        <f t="shared" si="3"/>
        <v>1</v>
      </c>
      <c r="J58">
        <f t="shared" si="4"/>
        <v>-0.69314718055994529</v>
      </c>
    </row>
    <row r="59" spans="1:10" x14ac:dyDescent="0.3">
      <c r="A59" s="2">
        <v>58</v>
      </c>
      <c r="B59" s="2">
        <v>28</v>
      </c>
      <c r="C59" s="2">
        <v>6</v>
      </c>
      <c r="D59" s="2">
        <v>1</v>
      </c>
      <c r="E59" s="2">
        <v>0</v>
      </c>
      <c r="F59">
        <f t="shared" si="0"/>
        <v>0</v>
      </c>
      <c r="G59">
        <f t="shared" si="1"/>
        <v>0.5</v>
      </c>
      <c r="H59">
        <f t="shared" si="2"/>
        <v>0.5</v>
      </c>
      <c r="I59">
        <f t="shared" si="3"/>
        <v>1</v>
      </c>
      <c r="J59">
        <f t="shared" si="4"/>
        <v>-0.69314718055994529</v>
      </c>
    </row>
    <row r="60" spans="1:10" x14ac:dyDescent="0.3">
      <c r="A60" s="2">
        <v>59</v>
      </c>
      <c r="B60" s="2">
        <v>34</v>
      </c>
      <c r="C60" s="2">
        <v>3</v>
      </c>
      <c r="D60" s="2">
        <v>5</v>
      </c>
      <c r="E60" s="2">
        <v>0</v>
      </c>
      <c r="F60">
        <f t="shared" si="0"/>
        <v>0</v>
      </c>
      <c r="G60">
        <f t="shared" si="1"/>
        <v>0.5</v>
      </c>
      <c r="H60">
        <f t="shared" si="2"/>
        <v>0.5</v>
      </c>
      <c r="I60">
        <f t="shared" si="3"/>
        <v>1</v>
      </c>
      <c r="J60">
        <f t="shared" si="4"/>
        <v>-0.69314718055994529</v>
      </c>
    </row>
    <row r="61" spans="1:10" x14ac:dyDescent="0.3">
      <c r="A61" s="2">
        <v>60</v>
      </c>
      <c r="B61" s="2">
        <v>59</v>
      </c>
      <c r="C61" s="2">
        <v>0</v>
      </c>
      <c r="D61" s="2">
        <v>2</v>
      </c>
      <c r="E61" s="2">
        <v>1</v>
      </c>
      <c r="F61">
        <f t="shared" si="0"/>
        <v>0</v>
      </c>
      <c r="G61">
        <f t="shared" si="1"/>
        <v>0.5</v>
      </c>
      <c r="H61">
        <f t="shared" si="2"/>
        <v>0.5</v>
      </c>
      <c r="I61">
        <f t="shared" si="3"/>
        <v>1</v>
      </c>
      <c r="J61">
        <f t="shared" si="4"/>
        <v>-0.69314718055994529</v>
      </c>
    </row>
    <row r="62" spans="1:10" x14ac:dyDescent="0.3">
      <c r="A62" s="2">
        <v>61</v>
      </c>
      <c r="B62" s="2">
        <v>38</v>
      </c>
      <c r="C62" s="2">
        <v>10</v>
      </c>
      <c r="D62" s="2">
        <v>5</v>
      </c>
      <c r="E62" s="2">
        <v>0</v>
      </c>
      <c r="F62">
        <f t="shared" si="0"/>
        <v>0</v>
      </c>
      <c r="G62">
        <f t="shared" si="1"/>
        <v>0.5</v>
      </c>
      <c r="H62">
        <f t="shared" si="2"/>
        <v>0.5</v>
      </c>
      <c r="I62">
        <f t="shared" si="3"/>
        <v>1</v>
      </c>
      <c r="J62">
        <f t="shared" si="4"/>
        <v>-0.69314718055994529</v>
      </c>
    </row>
    <row r="63" spans="1:10" x14ac:dyDescent="0.3">
      <c r="A63" s="2">
        <v>62</v>
      </c>
      <c r="B63" s="2">
        <v>42</v>
      </c>
      <c r="C63" s="2">
        <v>7</v>
      </c>
      <c r="D63" s="2">
        <v>4</v>
      </c>
      <c r="E63" s="2">
        <v>1</v>
      </c>
      <c r="F63">
        <f t="shared" si="0"/>
        <v>0</v>
      </c>
      <c r="G63">
        <f t="shared" si="1"/>
        <v>0.5</v>
      </c>
      <c r="H63">
        <f t="shared" si="2"/>
        <v>0.5</v>
      </c>
      <c r="I63">
        <f t="shared" si="3"/>
        <v>1</v>
      </c>
      <c r="J63">
        <f t="shared" si="4"/>
        <v>-0.69314718055994529</v>
      </c>
    </row>
    <row r="64" spans="1:10" x14ac:dyDescent="0.3">
      <c r="A64" s="2">
        <v>63</v>
      </c>
      <c r="B64" s="2">
        <v>33</v>
      </c>
      <c r="C64" s="2">
        <v>11</v>
      </c>
      <c r="D64" s="2">
        <v>1</v>
      </c>
      <c r="E64" s="2">
        <v>0</v>
      </c>
      <c r="F64">
        <f t="shared" si="0"/>
        <v>0</v>
      </c>
      <c r="G64">
        <f t="shared" si="1"/>
        <v>0.5</v>
      </c>
      <c r="H64">
        <f t="shared" si="2"/>
        <v>0.5</v>
      </c>
      <c r="I64">
        <f t="shared" si="3"/>
        <v>1</v>
      </c>
      <c r="J64">
        <f t="shared" si="4"/>
        <v>-0.69314718055994529</v>
      </c>
    </row>
    <row r="65" spans="1:10" x14ac:dyDescent="0.3">
      <c r="A65" s="2">
        <v>64</v>
      </c>
      <c r="B65" s="2">
        <v>26</v>
      </c>
      <c r="C65" s="2">
        <v>4</v>
      </c>
      <c r="D65" s="2">
        <v>4</v>
      </c>
      <c r="E65" s="2">
        <v>0</v>
      </c>
      <c r="F65">
        <f t="shared" si="0"/>
        <v>0</v>
      </c>
      <c r="G65">
        <f t="shared" si="1"/>
        <v>0.5</v>
      </c>
      <c r="H65">
        <f t="shared" si="2"/>
        <v>0.5</v>
      </c>
      <c r="I65">
        <f t="shared" si="3"/>
        <v>1</v>
      </c>
      <c r="J65">
        <f t="shared" si="4"/>
        <v>-0.69314718055994529</v>
      </c>
    </row>
    <row r="66" spans="1:10" x14ac:dyDescent="0.3">
      <c r="A66" s="2">
        <v>65</v>
      </c>
      <c r="B66" s="2">
        <v>38</v>
      </c>
      <c r="C66" s="2">
        <v>8</v>
      </c>
      <c r="D66" s="2">
        <v>4</v>
      </c>
      <c r="E66" s="2">
        <v>0</v>
      </c>
      <c r="F66">
        <f t="shared" si="0"/>
        <v>0</v>
      </c>
      <c r="G66">
        <f t="shared" si="1"/>
        <v>0.5</v>
      </c>
      <c r="H66">
        <f t="shared" si="2"/>
        <v>0.5</v>
      </c>
      <c r="I66">
        <f t="shared" si="3"/>
        <v>1</v>
      </c>
      <c r="J66">
        <f t="shared" si="4"/>
        <v>-0.69314718055994529</v>
      </c>
    </row>
    <row r="67" spans="1:10" x14ac:dyDescent="0.3">
      <c r="A67" s="2">
        <v>66</v>
      </c>
      <c r="B67" s="2">
        <v>46</v>
      </c>
      <c r="C67" s="2">
        <v>12</v>
      </c>
      <c r="D67" s="2">
        <v>1</v>
      </c>
      <c r="E67" s="2">
        <v>0</v>
      </c>
      <c r="F67">
        <f t="shared" ref="F67:F84" si="5">P68+B67*$Q$3+C67*$R$3+D67*$S$3</f>
        <v>0</v>
      </c>
      <c r="G67">
        <f t="shared" ref="G67:G84" si="6">_xlfn.NORM.S.DIST(F67,TRUE)</f>
        <v>0.5</v>
      </c>
      <c r="H67">
        <f t="shared" ref="H67:H84" si="7">MIN(MAX(G67,0.000001),1-0.000001)</f>
        <v>0.5</v>
      </c>
      <c r="I67">
        <f t="shared" ref="I67:I84" si="8">IF(H67&gt;=0.5,1,0)</f>
        <v>1</v>
      </c>
      <c r="J67">
        <f t="shared" ref="J67:J84" si="9">IF(E67=1,LN(H67),LN(1-H67))</f>
        <v>-0.69314718055994529</v>
      </c>
    </row>
    <row r="68" spans="1:10" x14ac:dyDescent="0.3">
      <c r="A68" s="2">
        <v>67</v>
      </c>
      <c r="B68" s="2">
        <v>39</v>
      </c>
      <c r="C68" s="2">
        <v>12</v>
      </c>
      <c r="D68" s="2">
        <v>1</v>
      </c>
      <c r="E68" s="2">
        <v>1</v>
      </c>
      <c r="F68">
        <f t="shared" si="5"/>
        <v>0</v>
      </c>
      <c r="G68">
        <f t="shared" si="6"/>
        <v>0.5</v>
      </c>
      <c r="H68">
        <f t="shared" si="7"/>
        <v>0.5</v>
      </c>
      <c r="I68">
        <f t="shared" si="8"/>
        <v>1</v>
      </c>
      <c r="J68">
        <f t="shared" si="9"/>
        <v>-0.69314718055994529</v>
      </c>
    </row>
    <row r="69" spans="1:10" x14ac:dyDescent="0.3">
      <c r="A69" s="2">
        <v>68</v>
      </c>
      <c r="B69" s="2">
        <v>52</v>
      </c>
      <c r="C69" s="2">
        <v>18</v>
      </c>
      <c r="D69" s="2">
        <v>2</v>
      </c>
      <c r="E69" s="2">
        <v>0</v>
      </c>
      <c r="F69">
        <f t="shared" si="5"/>
        <v>0</v>
      </c>
      <c r="G69">
        <f t="shared" si="6"/>
        <v>0.5</v>
      </c>
      <c r="H69">
        <f t="shared" si="7"/>
        <v>0.5</v>
      </c>
      <c r="I69">
        <f t="shared" si="8"/>
        <v>1</v>
      </c>
      <c r="J69">
        <f t="shared" si="9"/>
        <v>-0.69314718055994529</v>
      </c>
    </row>
    <row r="70" spans="1:10" x14ac:dyDescent="0.3">
      <c r="A70" s="2">
        <v>69</v>
      </c>
      <c r="B70" s="2">
        <v>36</v>
      </c>
      <c r="C70" s="2">
        <v>0</v>
      </c>
      <c r="D70" s="2">
        <v>1</v>
      </c>
      <c r="E70" s="2">
        <v>0</v>
      </c>
      <c r="F70">
        <f t="shared" si="5"/>
        <v>0</v>
      </c>
      <c r="G70">
        <f t="shared" si="6"/>
        <v>0.5</v>
      </c>
      <c r="H70">
        <f t="shared" si="7"/>
        <v>0.5</v>
      </c>
      <c r="I70">
        <f t="shared" si="8"/>
        <v>1</v>
      </c>
      <c r="J70">
        <f t="shared" si="9"/>
        <v>-0.69314718055994529</v>
      </c>
    </row>
    <row r="71" spans="1:10" x14ac:dyDescent="0.3">
      <c r="A71" s="2">
        <v>70</v>
      </c>
      <c r="B71" s="2">
        <v>45</v>
      </c>
      <c r="C71" s="2">
        <v>10</v>
      </c>
      <c r="D71" s="2">
        <v>3</v>
      </c>
      <c r="E71" s="2">
        <v>0</v>
      </c>
      <c r="F71">
        <f t="shared" si="5"/>
        <v>0</v>
      </c>
      <c r="G71">
        <f t="shared" si="6"/>
        <v>0.5</v>
      </c>
      <c r="H71">
        <f t="shared" si="7"/>
        <v>0.5</v>
      </c>
      <c r="I71">
        <f t="shared" si="8"/>
        <v>1</v>
      </c>
      <c r="J71">
        <f t="shared" si="9"/>
        <v>-0.69314718055994529</v>
      </c>
    </row>
    <row r="72" spans="1:10" x14ac:dyDescent="0.3">
      <c r="A72" s="2">
        <v>71</v>
      </c>
      <c r="B72" s="2">
        <v>52</v>
      </c>
      <c r="C72" s="2">
        <v>14</v>
      </c>
      <c r="D72" s="2">
        <v>3</v>
      </c>
      <c r="E72" s="2">
        <v>0</v>
      </c>
      <c r="F72">
        <f t="shared" si="5"/>
        <v>0</v>
      </c>
      <c r="G72">
        <f t="shared" si="6"/>
        <v>0.5</v>
      </c>
      <c r="H72">
        <f t="shared" si="7"/>
        <v>0.5</v>
      </c>
      <c r="I72">
        <f t="shared" si="8"/>
        <v>1</v>
      </c>
      <c r="J72">
        <f t="shared" si="9"/>
        <v>-0.69314718055994529</v>
      </c>
    </row>
    <row r="73" spans="1:10" x14ac:dyDescent="0.3">
      <c r="A73" s="2">
        <v>72</v>
      </c>
      <c r="B73" s="2">
        <v>57</v>
      </c>
      <c r="C73" s="2">
        <v>9</v>
      </c>
      <c r="D73" s="2">
        <v>4</v>
      </c>
      <c r="E73" s="2">
        <v>0</v>
      </c>
      <c r="F73">
        <f t="shared" si="5"/>
        <v>0</v>
      </c>
      <c r="G73">
        <f t="shared" si="6"/>
        <v>0.5</v>
      </c>
      <c r="H73">
        <f t="shared" si="7"/>
        <v>0.5</v>
      </c>
      <c r="I73">
        <f t="shared" si="8"/>
        <v>1</v>
      </c>
      <c r="J73">
        <f t="shared" si="9"/>
        <v>-0.69314718055994529</v>
      </c>
    </row>
    <row r="74" spans="1:10" x14ac:dyDescent="0.3">
      <c r="A74" s="2">
        <v>73</v>
      </c>
      <c r="B74" s="2">
        <v>38</v>
      </c>
      <c r="C74" s="2">
        <v>16</v>
      </c>
      <c r="D74" s="2">
        <v>3</v>
      </c>
      <c r="E74" s="2">
        <v>0</v>
      </c>
      <c r="F74">
        <f t="shared" si="5"/>
        <v>0</v>
      </c>
      <c r="G74">
        <f t="shared" si="6"/>
        <v>0.5</v>
      </c>
      <c r="H74">
        <f t="shared" si="7"/>
        <v>0.5</v>
      </c>
      <c r="I74">
        <f t="shared" si="8"/>
        <v>1</v>
      </c>
      <c r="J74">
        <f t="shared" si="9"/>
        <v>-0.69314718055994529</v>
      </c>
    </row>
    <row r="75" spans="1:10" x14ac:dyDescent="0.3">
      <c r="A75" s="2">
        <v>74</v>
      </c>
      <c r="B75" s="2">
        <v>23</v>
      </c>
      <c r="C75" s="2">
        <v>1</v>
      </c>
      <c r="D75" s="2">
        <v>3</v>
      </c>
      <c r="E75" s="2">
        <v>0</v>
      </c>
      <c r="F75">
        <f t="shared" si="5"/>
        <v>0</v>
      </c>
      <c r="G75">
        <f t="shared" si="6"/>
        <v>0.5</v>
      </c>
      <c r="H75">
        <f t="shared" si="7"/>
        <v>0.5</v>
      </c>
      <c r="I75">
        <f t="shared" si="8"/>
        <v>1</v>
      </c>
      <c r="J75">
        <f t="shared" si="9"/>
        <v>-0.69314718055994529</v>
      </c>
    </row>
    <row r="76" spans="1:10" x14ac:dyDescent="0.3">
      <c r="A76" s="2">
        <v>75</v>
      </c>
      <c r="B76" s="2">
        <v>50</v>
      </c>
      <c r="C76" s="2">
        <v>17</v>
      </c>
      <c r="D76" s="2">
        <v>2</v>
      </c>
      <c r="E76" s="2">
        <v>0</v>
      </c>
      <c r="F76">
        <f t="shared" si="5"/>
        <v>0</v>
      </c>
      <c r="G76">
        <f t="shared" si="6"/>
        <v>0.5</v>
      </c>
      <c r="H76">
        <f t="shared" si="7"/>
        <v>0.5</v>
      </c>
      <c r="I76">
        <f t="shared" si="8"/>
        <v>1</v>
      </c>
      <c r="J76">
        <f t="shared" si="9"/>
        <v>-0.69314718055994529</v>
      </c>
    </row>
    <row r="77" spans="1:10" x14ac:dyDescent="0.3">
      <c r="A77" s="2">
        <v>76</v>
      </c>
      <c r="B77" s="2">
        <v>42</v>
      </c>
      <c r="C77" s="2">
        <v>9</v>
      </c>
      <c r="D77" s="2">
        <v>3</v>
      </c>
      <c r="E77" s="2">
        <v>0</v>
      </c>
      <c r="F77">
        <f t="shared" si="5"/>
        <v>0</v>
      </c>
      <c r="G77">
        <f t="shared" si="6"/>
        <v>0.5</v>
      </c>
      <c r="H77">
        <f t="shared" si="7"/>
        <v>0.5</v>
      </c>
      <c r="I77">
        <f t="shared" si="8"/>
        <v>1</v>
      </c>
      <c r="J77">
        <f t="shared" si="9"/>
        <v>-0.69314718055994529</v>
      </c>
    </row>
    <row r="78" spans="1:10" x14ac:dyDescent="0.3">
      <c r="A78" s="2">
        <v>77</v>
      </c>
      <c r="B78" s="2">
        <v>56</v>
      </c>
      <c r="C78" s="2">
        <v>18</v>
      </c>
      <c r="D78" s="2">
        <v>3</v>
      </c>
      <c r="E78" s="2">
        <v>0</v>
      </c>
      <c r="F78">
        <f t="shared" si="5"/>
        <v>0</v>
      </c>
      <c r="G78">
        <f t="shared" si="6"/>
        <v>0.5</v>
      </c>
      <c r="H78">
        <f t="shared" si="7"/>
        <v>0.5</v>
      </c>
      <c r="I78">
        <f t="shared" si="8"/>
        <v>1</v>
      </c>
      <c r="J78">
        <f t="shared" si="9"/>
        <v>-0.69314718055994529</v>
      </c>
    </row>
    <row r="79" spans="1:10" x14ac:dyDescent="0.3">
      <c r="A79" s="2">
        <v>78</v>
      </c>
      <c r="B79" s="2">
        <v>39</v>
      </c>
      <c r="C79" s="2">
        <v>1</v>
      </c>
      <c r="D79" s="2">
        <v>5</v>
      </c>
      <c r="E79" s="2">
        <v>0</v>
      </c>
      <c r="F79">
        <f t="shared" si="5"/>
        <v>0</v>
      </c>
      <c r="G79">
        <f t="shared" si="6"/>
        <v>0.5</v>
      </c>
      <c r="H79">
        <f t="shared" si="7"/>
        <v>0.5</v>
      </c>
      <c r="I79">
        <f t="shared" si="8"/>
        <v>1</v>
      </c>
      <c r="J79">
        <f t="shared" si="9"/>
        <v>-0.69314718055994529</v>
      </c>
    </row>
    <row r="80" spans="1:10" x14ac:dyDescent="0.3">
      <c r="A80" s="2">
        <v>79</v>
      </c>
      <c r="B80" s="2">
        <v>36</v>
      </c>
      <c r="C80" s="2">
        <v>13</v>
      </c>
      <c r="D80" s="2">
        <v>4</v>
      </c>
      <c r="E80" s="2">
        <v>0</v>
      </c>
      <c r="F80">
        <f t="shared" si="5"/>
        <v>0</v>
      </c>
      <c r="G80">
        <f t="shared" si="6"/>
        <v>0.5</v>
      </c>
      <c r="H80">
        <f t="shared" si="7"/>
        <v>0.5</v>
      </c>
      <c r="I80">
        <f t="shared" si="8"/>
        <v>1</v>
      </c>
      <c r="J80">
        <f t="shared" si="9"/>
        <v>-0.69314718055994529</v>
      </c>
    </row>
    <row r="81" spans="1:10" x14ac:dyDescent="0.3">
      <c r="A81" s="2">
        <v>80</v>
      </c>
      <c r="B81" s="2">
        <v>24</v>
      </c>
      <c r="C81" s="2">
        <v>2</v>
      </c>
      <c r="D81" s="2">
        <v>4</v>
      </c>
      <c r="E81" s="2">
        <v>0</v>
      </c>
      <c r="F81">
        <f t="shared" si="5"/>
        <v>0</v>
      </c>
      <c r="G81">
        <f t="shared" si="6"/>
        <v>0.5</v>
      </c>
      <c r="H81">
        <f t="shared" si="7"/>
        <v>0.5</v>
      </c>
      <c r="I81">
        <f t="shared" si="8"/>
        <v>1</v>
      </c>
      <c r="J81">
        <f t="shared" si="9"/>
        <v>-0.69314718055994529</v>
      </c>
    </row>
    <row r="82" spans="1:10" x14ac:dyDescent="0.3">
      <c r="A82" s="2">
        <v>81</v>
      </c>
      <c r="B82" s="2">
        <v>39</v>
      </c>
      <c r="C82" s="2">
        <v>5</v>
      </c>
      <c r="D82" s="2">
        <v>3</v>
      </c>
      <c r="E82" s="2">
        <v>0</v>
      </c>
      <c r="F82">
        <f t="shared" si="5"/>
        <v>0</v>
      </c>
      <c r="G82">
        <f t="shared" si="6"/>
        <v>0.5</v>
      </c>
      <c r="H82">
        <f t="shared" si="7"/>
        <v>0.5</v>
      </c>
      <c r="I82">
        <f t="shared" si="8"/>
        <v>1</v>
      </c>
      <c r="J82">
        <f t="shared" si="9"/>
        <v>-0.69314718055994529</v>
      </c>
    </row>
    <row r="83" spans="1:10" x14ac:dyDescent="0.3">
      <c r="A83" s="2">
        <v>82</v>
      </c>
      <c r="B83" s="2">
        <v>47</v>
      </c>
      <c r="C83" s="2">
        <v>14</v>
      </c>
      <c r="D83" s="2">
        <v>2</v>
      </c>
      <c r="E83" s="2">
        <v>0</v>
      </c>
      <c r="F83">
        <f t="shared" si="5"/>
        <v>0</v>
      </c>
      <c r="G83">
        <f t="shared" si="6"/>
        <v>0.5</v>
      </c>
      <c r="H83">
        <f t="shared" si="7"/>
        <v>0.5</v>
      </c>
      <c r="I83">
        <f t="shared" si="8"/>
        <v>1</v>
      </c>
      <c r="J83">
        <f t="shared" si="9"/>
        <v>-0.69314718055994529</v>
      </c>
    </row>
    <row r="84" spans="1:10" x14ac:dyDescent="0.3">
      <c r="A84" s="2">
        <v>83</v>
      </c>
      <c r="B84" s="2">
        <v>52</v>
      </c>
      <c r="C84" s="2">
        <v>16</v>
      </c>
      <c r="D84" s="2">
        <v>2</v>
      </c>
      <c r="E84" s="2">
        <v>0</v>
      </c>
      <c r="F84">
        <f t="shared" si="5"/>
        <v>0</v>
      </c>
      <c r="G84">
        <f t="shared" si="6"/>
        <v>0.5</v>
      </c>
      <c r="H84">
        <f t="shared" si="7"/>
        <v>0.5</v>
      </c>
      <c r="I84">
        <f t="shared" si="8"/>
        <v>1</v>
      </c>
      <c r="J84">
        <f t="shared" si="9"/>
        <v>-0.69314718055994529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2025-12-28T20:57:38Z</dcterms:created>
  <dcterms:modified xsi:type="dcterms:W3CDTF">2025-12-28T21:14:45Z</dcterms:modified>
</cp:coreProperties>
</file>