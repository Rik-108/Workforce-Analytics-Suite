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72B46735-6004-4622-8163-5B514AF3B61F}" xr6:coauthVersionLast="47" xr6:coauthVersionMax="47" xr10:uidLastSave="{00000000-0000-0000-0000-000000000000}"/>
  <bookViews>
    <workbookView xWindow="-108" yWindow="-108" windowWidth="23256" windowHeight="12456" xr2:uid="{0926443D-F600-4880-AA62-27D5E4C95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D5" i="1"/>
  <c r="G16" i="1"/>
  <c r="G15" i="1"/>
  <c r="G14" i="1"/>
  <c r="G7" i="1"/>
  <c r="G6" i="1"/>
  <c r="G8" i="1"/>
  <c r="G9" i="1"/>
  <c r="G10" i="1"/>
  <c r="G11" i="1"/>
  <c r="G12" i="1"/>
  <c r="G13" i="1"/>
  <c r="E14" i="1"/>
  <c r="E6" i="1"/>
  <c r="E7" i="1"/>
  <c r="E8" i="1"/>
  <c r="E9" i="1"/>
  <c r="E10" i="1"/>
  <c r="E11" i="1"/>
  <c r="E12" i="1"/>
  <c r="E13" i="1"/>
  <c r="E5" i="1"/>
  <c r="C14" i="1" l="1"/>
  <c r="F5" i="1"/>
  <c r="F6" i="1" s="1"/>
  <c r="F7" i="1" s="1"/>
  <c r="F8" i="1" s="1"/>
  <c r="F9" i="1" s="1"/>
  <c r="F10" i="1" s="1"/>
  <c r="F11" i="1" s="1"/>
  <c r="F12" i="1" s="1"/>
  <c r="F13" i="1" s="1"/>
</calcChain>
</file>

<file path=xl/sharedStrings.xml><?xml version="1.0" encoding="utf-8"?>
<sst xmlns="http://schemas.openxmlformats.org/spreadsheetml/2006/main" count="10" uniqueCount="10">
  <si>
    <t>Levels of Personnel</t>
  </si>
  <si>
    <t>Salary</t>
  </si>
  <si>
    <t>% Population</t>
  </si>
  <si>
    <t>% income</t>
  </si>
  <si>
    <t>Cumulitive Income</t>
  </si>
  <si>
    <t>Area</t>
  </si>
  <si>
    <t>AUC = sum</t>
  </si>
  <si>
    <t>a=average cumulitive income/2*(1/no of steps)</t>
  </si>
  <si>
    <t>Area of inequality = 0.5-Auc</t>
  </si>
  <si>
    <t>Gini= A of inequality/0.5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</si>
</sst>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10" fontId="0" fillId="2" borderId="0" xfId="0" applyNumberFormat="1" applyFill="1"/>
    <xf numFmtId="0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0" borderId="0" xfId="0" applyFill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0" fillId="0" borderId="1" xfId="0" applyNumberFormat="1" applyBorder="1"/>
    <xf numFmtId="10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% 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Sheet1!$B$5:$B$13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Sheet1!$D$5:$D$13</c:f>
              <c:numCache>
                <c:formatCode>0%</c:formatCode>
                <c:ptCount val="9"/>
                <c:pt idx="0">
                  <c:v>0</c:v>
                </c:pt>
                <c:pt idx="1">
                  <c:v>0.13</c:v>
                </c:pt>
                <c:pt idx="2">
                  <c:v>0.25</c:v>
                </c:pt>
                <c:pt idx="3">
                  <c:v>0.38</c:v>
                </c:pt>
                <c:pt idx="4">
                  <c:v>0.5</c:v>
                </c:pt>
                <c:pt idx="5">
                  <c:v>0.63</c:v>
                </c:pt>
                <c:pt idx="6">
                  <c:v>0.75</c:v>
                </c:pt>
                <c:pt idx="7">
                  <c:v>0.88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C-49D2-B591-7CC89FD53B91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Cumulitive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Sheet1!$B$5:$B$13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Sheet1!$F$5:$F$13</c:f>
              <c:numCache>
                <c:formatCode>0%</c:formatCode>
                <c:ptCount val="9"/>
                <c:pt idx="0">
                  <c:v>0</c:v>
                </c:pt>
                <c:pt idx="1">
                  <c:v>6.993006993006993E-3</c:v>
                </c:pt>
                <c:pt idx="2">
                  <c:v>2.3776223776223775E-2</c:v>
                </c:pt>
                <c:pt idx="3">
                  <c:v>4.8951048951048952E-2</c:v>
                </c:pt>
                <c:pt idx="4">
                  <c:v>9.0909090909090912E-2</c:v>
                </c:pt>
                <c:pt idx="5">
                  <c:v>0.14685314685314685</c:v>
                </c:pt>
                <c:pt idx="6">
                  <c:v>0.23076923076923078</c:v>
                </c:pt>
                <c:pt idx="7">
                  <c:v>0.37062937062937062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9D2-B591-7CC89FD5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806991"/>
        <c:axId val="1472807471"/>
      </c:lineChart>
      <c:catAx>
        <c:axId val="14728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07471"/>
        <c:crosses val="autoZero"/>
        <c:auto val="1"/>
        <c:lblAlgn val="ctr"/>
        <c:lblOffset val="100"/>
        <c:noMultiLvlLbl val="0"/>
      </c:catAx>
      <c:valAx>
        <c:axId val="147280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0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480060</xdr:colOff>
      <xdr:row>1</xdr:row>
      <xdr:rowOff>91440</xdr:rowOff>
    </xdr:from>
    <xdr:to>
      <xdr:col>22</xdr:col>
      <xdr:colOff>175260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001BB-D897-21C8-13DA-C1A807550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35A1-4468-4372-B079-8A9464BFCFB9}">
  <dimension ref="B4:I16"/>
  <sheetViews>
    <sheetView tabSelected="1" workbookViewId="0">
      <selection activeCell="J18" sqref="J18"/>
    </sheetView>
  </sheetViews>
  <sheetFormatPr defaultRowHeight="14.4" x14ac:dyDescent="0.3"/>
  <cols>
    <col min="6" max="6" width="10" customWidth="1"/>
  </cols>
  <sheetData>
    <row r="4" spans="2:9" ht="60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9" t="s">
        <v>4</v>
      </c>
      <c r="G4" s="9" t="s">
        <v>5</v>
      </c>
      <c r="H4" s="7" t="s">
        <v>7</v>
      </c>
      <c r="I4" s="7"/>
    </row>
    <row r="5" spans="2:9" x14ac:dyDescent="0.3">
      <c r="B5" s="1">
        <v>0</v>
      </c>
      <c r="C5" s="1">
        <v>0</v>
      </c>
      <c r="D5" s="2">
        <f t="shared" ref="D5" si="0">C5/$C$12</f>
        <v>0</v>
      </c>
      <c r="E5" s="2">
        <f>C5/$C$14</f>
        <v>0</v>
      </c>
      <c r="F5" s="10">
        <f>E5</f>
        <v>0</v>
      </c>
      <c r="G5" s="11">
        <v>0</v>
      </c>
    </row>
    <row r="6" spans="2:9" x14ac:dyDescent="0.3">
      <c r="B6" s="1">
        <v>1</v>
      </c>
      <c r="C6" s="1">
        <v>5000</v>
      </c>
      <c r="D6" s="2">
        <v>0.13</v>
      </c>
      <c r="E6" s="2">
        <f t="shared" ref="E6:E14" si="1">C6/$C$14</f>
        <v>6.993006993006993E-3</v>
      </c>
      <c r="F6" s="10">
        <f>E6+F5</f>
        <v>6.993006993006993E-3</v>
      </c>
      <c r="G6" s="12">
        <f>+(F6+F5)/2*(1/8)</f>
        <v>4.3706293706293706E-4</v>
      </c>
    </row>
    <row r="7" spans="2:9" x14ac:dyDescent="0.3">
      <c r="B7" s="1">
        <v>2</v>
      </c>
      <c r="C7" s="1">
        <v>12000</v>
      </c>
      <c r="D7" s="2">
        <v>0.25</v>
      </c>
      <c r="E7" s="2">
        <f t="shared" si="1"/>
        <v>1.6783216783216783E-2</v>
      </c>
      <c r="F7" s="10">
        <f t="shared" ref="F7:F13" si="2">E7+F6</f>
        <v>2.3776223776223775E-2</v>
      </c>
      <c r="G7" s="12">
        <f>+(F7+F6)/2*(1/8)</f>
        <v>1.923076923076923E-3</v>
      </c>
    </row>
    <row r="8" spans="2:9" x14ac:dyDescent="0.3">
      <c r="B8" s="1">
        <v>3</v>
      </c>
      <c r="C8" s="1">
        <v>18000</v>
      </c>
      <c r="D8" s="2">
        <v>0.38</v>
      </c>
      <c r="E8" s="2">
        <f t="shared" si="1"/>
        <v>2.5174825174825177E-2</v>
      </c>
      <c r="F8" s="10">
        <f t="shared" si="2"/>
        <v>4.8951048951048952E-2</v>
      </c>
      <c r="G8" s="12">
        <f t="shared" ref="G7:G13" si="3">+(F8+F7)/2*(1/8)</f>
        <v>4.5454545454545452E-3</v>
      </c>
    </row>
    <row r="9" spans="2:9" x14ac:dyDescent="0.3">
      <c r="B9" s="1">
        <v>4</v>
      </c>
      <c r="C9" s="1">
        <v>30000</v>
      </c>
      <c r="D9" s="2">
        <v>0.5</v>
      </c>
      <c r="E9" s="2">
        <f t="shared" si="1"/>
        <v>4.195804195804196E-2</v>
      </c>
      <c r="F9" s="10">
        <f t="shared" si="2"/>
        <v>9.0909090909090912E-2</v>
      </c>
      <c r="G9" s="12">
        <f t="shared" si="3"/>
        <v>8.7412587412587419E-3</v>
      </c>
    </row>
    <row r="10" spans="2:9" x14ac:dyDescent="0.3">
      <c r="B10" s="1">
        <v>5</v>
      </c>
      <c r="C10" s="1">
        <v>40000</v>
      </c>
      <c r="D10" s="2">
        <v>0.63</v>
      </c>
      <c r="E10" s="2">
        <f t="shared" si="1"/>
        <v>5.5944055944055944E-2</v>
      </c>
      <c r="F10" s="10">
        <f t="shared" si="2"/>
        <v>0.14685314685314685</v>
      </c>
      <c r="G10" s="12">
        <f t="shared" si="3"/>
        <v>1.486013986013986E-2</v>
      </c>
    </row>
    <row r="11" spans="2:9" x14ac:dyDescent="0.3">
      <c r="B11" s="1">
        <v>6</v>
      </c>
      <c r="C11" s="1">
        <v>60000</v>
      </c>
      <c r="D11" s="2">
        <v>0.75</v>
      </c>
      <c r="E11" s="2">
        <f t="shared" si="1"/>
        <v>8.3916083916083919E-2</v>
      </c>
      <c r="F11" s="10">
        <f t="shared" si="2"/>
        <v>0.23076923076923078</v>
      </c>
      <c r="G11" s="12">
        <f t="shared" si="3"/>
        <v>2.36013986013986E-2</v>
      </c>
    </row>
    <row r="12" spans="2:9" x14ac:dyDescent="0.3">
      <c r="B12" s="1">
        <v>7</v>
      </c>
      <c r="C12" s="1">
        <v>100000</v>
      </c>
      <c r="D12" s="2">
        <v>0.88</v>
      </c>
      <c r="E12" s="2">
        <f t="shared" si="1"/>
        <v>0.13986013986013987</v>
      </c>
      <c r="F12" s="10">
        <f t="shared" si="2"/>
        <v>0.37062937062937062</v>
      </c>
      <c r="G12" s="12">
        <f t="shared" si="3"/>
        <v>3.7587412587412591E-2</v>
      </c>
    </row>
    <row r="13" spans="2:9" x14ac:dyDescent="0.3">
      <c r="B13" s="1">
        <v>8</v>
      </c>
      <c r="C13" s="1">
        <v>450000</v>
      </c>
      <c r="D13" s="2">
        <f>C13/C13</f>
        <v>1</v>
      </c>
      <c r="E13" s="2">
        <f t="shared" si="1"/>
        <v>0.62937062937062938</v>
      </c>
      <c r="F13" s="10">
        <f t="shared" si="2"/>
        <v>1</v>
      </c>
      <c r="G13" s="12">
        <f t="shared" si="3"/>
        <v>8.5664335664335664E-2</v>
      </c>
    </row>
    <row r="14" spans="2:9" x14ac:dyDescent="0.3">
      <c r="C14">
        <f>SUM(C5:C13)</f>
        <v>715000</v>
      </c>
      <c r="E14" s="8">
        <f t="shared" si="1"/>
        <v>1</v>
      </c>
      <c r="G14" s="3">
        <f>SUM(G5:G13)</f>
        <v>0.17736013986013988</v>
      </c>
      <c r="H14" s="6" t="s">
        <v>6</v>
      </c>
    </row>
    <row r="15" spans="2:9" x14ac:dyDescent="0.3">
      <c r="G15" s="4">
        <f>0.5-G14</f>
        <v>0.32263986013986012</v>
      </c>
      <c r="H15" s="6" t="s">
        <v>8</v>
      </c>
    </row>
    <row r="16" spans="2:9" x14ac:dyDescent="0.3">
      <c r="G16" s="5">
        <f>G15/0.5</f>
        <v>0.64527972027972025</v>
      </c>
      <c r="H16" s="6" t="s">
        <v>9</v>
      </c>
    </row>
  </sheetData>
  <mergeCells count="1">
    <mergeCell ref="H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2025-12-28T11:37:16Z</dcterms:created>
  <dcterms:modified xsi:type="dcterms:W3CDTF">2025-12-28T12:00:40Z</dcterms:modified>
</cp:coreProperties>
</file>