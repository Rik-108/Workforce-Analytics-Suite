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HRA\Exam Prep\"/>
    </mc:Choice>
  </mc:AlternateContent>
  <xr:revisionPtr revIDLastSave="0" documentId="8_{F210DBBD-9D83-4DE7-BBBA-3A00658D939C}" xr6:coauthVersionLast="47" xr6:coauthVersionMax="47" xr10:uidLastSave="{00000000-0000-0000-0000-000000000000}"/>
  <bookViews>
    <workbookView xWindow="-108" yWindow="-108" windowWidth="23256" windowHeight="12456" activeTab="2" xr2:uid="{38EB39F9-B933-485E-9A18-722368872D24}"/>
  </bookViews>
  <sheets>
    <sheet name="Sheet1" sheetId="1" r:id="rId1"/>
    <sheet name="Sheet2" sheetId="2" r:id="rId2"/>
    <sheet name="Sheet3" sheetId="3" r:id="rId3"/>
  </sheets>
  <calcPr calcId="191029"/>
  <pivotCaches>
    <pivotCache cacheId="12" r:id="rId4"/>
    <pivotCache cacheId="1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7" i="1" l="1"/>
  <c r="O17" i="1"/>
  <c r="P17" i="1"/>
  <c r="Q17" i="1"/>
  <c r="M17" i="1"/>
  <c r="N15" i="1"/>
  <c r="O15" i="1"/>
  <c r="P15" i="1"/>
  <c r="Q15" i="1"/>
  <c r="M15" i="1"/>
  <c r="N10" i="1"/>
  <c r="O10" i="1"/>
  <c r="P10" i="1"/>
  <c r="Q10" i="1"/>
  <c r="R10" i="1"/>
  <c r="N11" i="1"/>
  <c r="O11" i="1"/>
  <c r="P11" i="1"/>
  <c r="Q11" i="1"/>
  <c r="R11" i="1"/>
  <c r="N12" i="1"/>
  <c r="O12" i="1"/>
  <c r="P12" i="1"/>
  <c r="Q12" i="1"/>
  <c r="R12" i="1"/>
  <c r="N13" i="1"/>
  <c r="O13" i="1"/>
  <c r="P13" i="1"/>
  <c r="Q13" i="1"/>
  <c r="R13" i="1"/>
  <c r="N14" i="1"/>
  <c r="O14" i="1"/>
  <c r="P14" i="1"/>
  <c r="Q14" i="1"/>
  <c r="R14" i="1"/>
  <c r="M11" i="1"/>
  <c r="M12" i="1"/>
  <c r="M13" i="1"/>
  <c r="M14" i="1"/>
  <c r="M10" i="1"/>
  <c r="C9" i="3"/>
  <c r="D9" i="3"/>
  <c r="E9" i="3"/>
  <c r="F9" i="3"/>
  <c r="B9" i="3"/>
  <c r="N137" i="2"/>
  <c r="M137" i="2"/>
  <c r="L137" i="2"/>
  <c r="K137" i="2"/>
  <c r="J137" i="2"/>
  <c r="I137" i="2"/>
  <c r="H137" i="2"/>
  <c r="G137" i="2"/>
  <c r="F137" i="2"/>
  <c r="E137" i="2"/>
  <c r="D137" i="2"/>
  <c r="N136" i="2"/>
  <c r="M136" i="2"/>
  <c r="L136" i="2"/>
  <c r="K136" i="2"/>
  <c r="J136" i="2"/>
  <c r="I136" i="2"/>
  <c r="H136" i="2"/>
  <c r="G136" i="2"/>
  <c r="F136" i="2"/>
  <c r="E136" i="2"/>
  <c r="D136" i="2"/>
  <c r="N135" i="2"/>
  <c r="M135" i="2"/>
  <c r="L135" i="2"/>
  <c r="K135" i="2"/>
  <c r="J135" i="2"/>
  <c r="I135" i="2"/>
  <c r="H135" i="2"/>
  <c r="G135" i="2"/>
  <c r="F135" i="2"/>
  <c r="E135" i="2"/>
  <c r="D135" i="2"/>
  <c r="N134" i="2"/>
  <c r="M134" i="2"/>
  <c r="L134" i="2"/>
  <c r="K134" i="2"/>
  <c r="J134" i="2"/>
  <c r="I134" i="2"/>
  <c r="H134" i="2"/>
  <c r="G134" i="2"/>
  <c r="F134" i="2"/>
  <c r="E134" i="2"/>
  <c r="D134" i="2"/>
  <c r="N133" i="2"/>
  <c r="M133" i="2"/>
  <c r="L133" i="2"/>
  <c r="K133" i="2"/>
  <c r="J133" i="2"/>
  <c r="I133" i="2"/>
  <c r="H133" i="2"/>
  <c r="G133" i="2"/>
  <c r="F133" i="2"/>
  <c r="E133" i="2"/>
  <c r="D133" i="2"/>
  <c r="N132" i="2"/>
  <c r="M132" i="2"/>
  <c r="L132" i="2"/>
  <c r="K132" i="2"/>
  <c r="J132" i="2"/>
  <c r="I132" i="2"/>
  <c r="H132" i="2"/>
  <c r="G132" i="2"/>
  <c r="F132" i="2"/>
  <c r="E132" i="2"/>
  <c r="D132" i="2"/>
  <c r="N131" i="2"/>
  <c r="M131" i="2"/>
  <c r="L131" i="2"/>
  <c r="K131" i="2"/>
  <c r="J131" i="2"/>
  <c r="I131" i="2"/>
  <c r="H131" i="2"/>
  <c r="G131" i="2"/>
  <c r="F131" i="2"/>
  <c r="E131" i="2"/>
  <c r="D131" i="2"/>
  <c r="N130" i="2"/>
  <c r="M130" i="2"/>
  <c r="L130" i="2"/>
  <c r="K130" i="2"/>
  <c r="J130" i="2"/>
  <c r="I130" i="2"/>
  <c r="H130" i="2"/>
  <c r="G130" i="2"/>
  <c r="F130" i="2"/>
  <c r="E130" i="2"/>
  <c r="D130" i="2"/>
  <c r="N129" i="2"/>
  <c r="M129" i="2"/>
  <c r="L129" i="2"/>
  <c r="K129" i="2"/>
  <c r="J129" i="2"/>
  <c r="I129" i="2"/>
  <c r="H129" i="2"/>
  <c r="G129" i="2"/>
  <c r="F129" i="2"/>
  <c r="E129" i="2"/>
  <c r="D129" i="2"/>
  <c r="N128" i="2"/>
  <c r="M128" i="2"/>
  <c r="L128" i="2"/>
  <c r="K128" i="2"/>
  <c r="J128" i="2"/>
  <c r="I128" i="2"/>
  <c r="H128" i="2"/>
  <c r="G128" i="2"/>
  <c r="F128" i="2"/>
  <c r="E128" i="2"/>
  <c r="D128" i="2"/>
  <c r="N127" i="2"/>
  <c r="M127" i="2"/>
  <c r="L127" i="2"/>
  <c r="K127" i="2"/>
  <c r="J127" i="2"/>
  <c r="I127" i="2"/>
  <c r="H127" i="2"/>
  <c r="G127" i="2"/>
  <c r="F127" i="2"/>
  <c r="E127" i="2"/>
  <c r="D127" i="2"/>
  <c r="N126" i="2"/>
  <c r="M126" i="2"/>
  <c r="L126" i="2"/>
  <c r="K126" i="2"/>
  <c r="J126" i="2"/>
  <c r="I126" i="2"/>
  <c r="H126" i="2"/>
  <c r="G126" i="2"/>
  <c r="F126" i="2"/>
  <c r="E126" i="2"/>
  <c r="D126" i="2"/>
  <c r="N125" i="2"/>
  <c r="M125" i="2"/>
  <c r="L125" i="2"/>
  <c r="K125" i="2"/>
  <c r="J125" i="2"/>
  <c r="I125" i="2"/>
  <c r="H125" i="2"/>
  <c r="G125" i="2"/>
  <c r="F125" i="2"/>
  <c r="E125" i="2"/>
  <c r="D125" i="2"/>
  <c r="N124" i="2"/>
  <c r="M124" i="2"/>
  <c r="L124" i="2"/>
  <c r="K124" i="2"/>
  <c r="J124" i="2"/>
  <c r="I124" i="2"/>
  <c r="H124" i="2"/>
  <c r="G124" i="2"/>
  <c r="F124" i="2"/>
  <c r="E124" i="2"/>
  <c r="D124" i="2"/>
  <c r="N123" i="2"/>
  <c r="M123" i="2"/>
  <c r="L123" i="2"/>
  <c r="K123" i="2"/>
  <c r="J123" i="2"/>
  <c r="I123" i="2"/>
  <c r="H123" i="2"/>
  <c r="G123" i="2"/>
  <c r="F123" i="2"/>
  <c r="E123" i="2"/>
  <c r="D123" i="2"/>
  <c r="N122" i="2"/>
  <c r="M122" i="2"/>
  <c r="L122" i="2"/>
  <c r="K122" i="2"/>
  <c r="J122" i="2"/>
  <c r="I122" i="2"/>
  <c r="H122" i="2"/>
  <c r="G122" i="2"/>
  <c r="F122" i="2"/>
  <c r="E122" i="2"/>
  <c r="D122" i="2"/>
  <c r="N121" i="2"/>
  <c r="M121" i="2"/>
  <c r="L121" i="2"/>
  <c r="K121" i="2"/>
  <c r="J121" i="2"/>
  <c r="I121" i="2"/>
  <c r="H121" i="2"/>
  <c r="G121" i="2"/>
  <c r="F121" i="2"/>
  <c r="E121" i="2"/>
  <c r="D121" i="2"/>
  <c r="N120" i="2"/>
  <c r="M120" i="2"/>
  <c r="L120" i="2"/>
  <c r="K120" i="2"/>
  <c r="J120" i="2"/>
  <c r="I120" i="2"/>
  <c r="H120" i="2"/>
  <c r="G120" i="2"/>
  <c r="F120" i="2"/>
  <c r="E120" i="2"/>
  <c r="D120" i="2"/>
  <c r="N119" i="2"/>
  <c r="M119" i="2"/>
  <c r="L119" i="2"/>
  <c r="K119" i="2"/>
  <c r="J119" i="2"/>
  <c r="I119" i="2"/>
  <c r="H119" i="2"/>
  <c r="G119" i="2"/>
  <c r="F119" i="2"/>
  <c r="E119" i="2"/>
  <c r="D119" i="2"/>
  <c r="N118" i="2"/>
  <c r="M118" i="2"/>
  <c r="L118" i="2"/>
  <c r="K118" i="2"/>
  <c r="J118" i="2"/>
  <c r="I118" i="2"/>
  <c r="H118" i="2"/>
  <c r="G118" i="2"/>
  <c r="F118" i="2"/>
  <c r="E118" i="2"/>
  <c r="D118" i="2"/>
  <c r="N117" i="2"/>
  <c r="M117" i="2"/>
  <c r="L117" i="2"/>
  <c r="K117" i="2"/>
  <c r="J117" i="2"/>
  <c r="I117" i="2"/>
  <c r="H117" i="2"/>
  <c r="G117" i="2"/>
  <c r="F117" i="2"/>
  <c r="E117" i="2"/>
  <c r="D117" i="2"/>
  <c r="N116" i="2"/>
  <c r="M116" i="2"/>
  <c r="L116" i="2"/>
  <c r="K116" i="2"/>
  <c r="J116" i="2"/>
  <c r="I116" i="2"/>
  <c r="H116" i="2"/>
  <c r="G116" i="2"/>
  <c r="F116" i="2"/>
  <c r="E116" i="2"/>
  <c r="D116" i="2"/>
  <c r="N115" i="2"/>
  <c r="M115" i="2"/>
  <c r="L115" i="2"/>
  <c r="K115" i="2"/>
  <c r="J115" i="2"/>
  <c r="I115" i="2"/>
  <c r="H115" i="2"/>
  <c r="G115" i="2"/>
  <c r="F115" i="2"/>
  <c r="E115" i="2"/>
  <c r="D115" i="2"/>
  <c r="N114" i="2"/>
  <c r="M114" i="2"/>
  <c r="L114" i="2"/>
  <c r="K114" i="2"/>
  <c r="J114" i="2"/>
  <c r="I114" i="2"/>
  <c r="H114" i="2"/>
  <c r="G114" i="2"/>
  <c r="F114" i="2"/>
  <c r="E114" i="2"/>
  <c r="D114" i="2"/>
  <c r="N113" i="2"/>
  <c r="M113" i="2"/>
  <c r="L113" i="2"/>
  <c r="K113" i="2"/>
  <c r="J113" i="2"/>
  <c r="I113" i="2"/>
  <c r="H113" i="2"/>
  <c r="G113" i="2"/>
  <c r="F113" i="2"/>
  <c r="E113" i="2"/>
  <c r="D113" i="2"/>
  <c r="N112" i="2"/>
  <c r="M112" i="2"/>
  <c r="L112" i="2"/>
  <c r="K112" i="2"/>
  <c r="J112" i="2"/>
  <c r="I112" i="2"/>
  <c r="H112" i="2"/>
  <c r="G112" i="2"/>
  <c r="F112" i="2"/>
  <c r="E112" i="2"/>
  <c r="D112" i="2"/>
  <c r="N111" i="2"/>
  <c r="M111" i="2"/>
  <c r="L111" i="2"/>
  <c r="K111" i="2"/>
  <c r="J111" i="2"/>
  <c r="I111" i="2"/>
  <c r="H111" i="2"/>
  <c r="G111" i="2"/>
  <c r="F111" i="2"/>
  <c r="E111" i="2"/>
  <c r="D111" i="2"/>
  <c r="N110" i="2"/>
  <c r="M110" i="2"/>
  <c r="L110" i="2"/>
  <c r="K110" i="2"/>
  <c r="J110" i="2"/>
  <c r="I110" i="2"/>
  <c r="H110" i="2"/>
  <c r="G110" i="2"/>
  <c r="F110" i="2"/>
  <c r="E110" i="2"/>
  <c r="D110" i="2"/>
  <c r="N109" i="2"/>
  <c r="M109" i="2"/>
  <c r="L109" i="2"/>
  <c r="K109" i="2"/>
  <c r="J109" i="2"/>
  <c r="I109" i="2"/>
  <c r="H109" i="2"/>
  <c r="G109" i="2"/>
  <c r="F109" i="2"/>
  <c r="E109" i="2"/>
  <c r="D109" i="2"/>
  <c r="N108" i="2"/>
  <c r="M108" i="2"/>
  <c r="L108" i="2"/>
  <c r="K108" i="2"/>
  <c r="J108" i="2"/>
  <c r="I108" i="2"/>
  <c r="H108" i="2"/>
  <c r="G108" i="2"/>
  <c r="F108" i="2"/>
  <c r="E108" i="2"/>
  <c r="D108" i="2"/>
  <c r="N107" i="2"/>
  <c r="M107" i="2"/>
  <c r="L107" i="2"/>
  <c r="K107" i="2"/>
  <c r="J107" i="2"/>
  <c r="I107" i="2"/>
  <c r="H107" i="2"/>
  <c r="G107" i="2"/>
  <c r="F107" i="2"/>
  <c r="E107" i="2"/>
  <c r="D107" i="2"/>
  <c r="N106" i="2"/>
  <c r="M106" i="2"/>
  <c r="L106" i="2"/>
  <c r="K106" i="2"/>
  <c r="J106" i="2"/>
  <c r="I106" i="2"/>
  <c r="H106" i="2"/>
  <c r="G106" i="2"/>
  <c r="F106" i="2"/>
  <c r="E106" i="2"/>
  <c r="D106" i="2"/>
  <c r="N105" i="2"/>
  <c r="M105" i="2"/>
  <c r="L105" i="2"/>
  <c r="K105" i="2"/>
  <c r="J105" i="2"/>
  <c r="I105" i="2"/>
  <c r="H105" i="2"/>
  <c r="G105" i="2"/>
  <c r="F105" i="2"/>
  <c r="E105" i="2"/>
  <c r="D105" i="2"/>
  <c r="N104" i="2"/>
  <c r="M104" i="2"/>
  <c r="L104" i="2"/>
  <c r="K104" i="2"/>
  <c r="J104" i="2"/>
  <c r="I104" i="2"/>
  <c r="H104" i="2"/>
  <c r="G104" i="2"/>
  <c r="F104" i="2"/>
  <c r="E104" i="2"/>
  <c r="D104" i="2"/>
  <c r="N103" i="2"/>
  <c r="M103" i="2"/>
  <c r="L103" i="2"/>
  <c r="K103" i="2"/>
  <c r="J103" i="2"/>
  <c r="I103" i="2"/>
  <c r="H103" i="2"/>
  <c r="G103" i="2"/>
  <c r="F103" i="2"/>
  <c r="E103" i="2"/>
  <c r="D103" i="2"/>
  <c r="N102" i="2"/>
  <c r="M102" i="2"/>
  <c r="L102" i="2"/>
  <c r="K102" i="2"/>
  <c r="J102" i="2"/>
  <c r="I102" i="2"/>
  <c r="H102" i="2"/>
  <c r="G102" i="2"/>
  <c r="F102" i="2"/>
  <c r="E102" i="2"/>
  <c r="D102" i="2"/>
  <c r="N101" i="2"/>
  <c r="M101" i="2"/>
  <c r="L101" i="2"/>
  <c r="K101" i="2"/>
  <c r="J101" i="2"/>
  <c r="I101" i="2"/>
  <c r="H101" i="2"/>
  <c r="G101" i="2"/>
  <c r="F101" i="2"/>
  <c r="E101" i="2"/>
  <c r="D101" i="2"/>
  <c r="N100" i="2"/>
  <c r="M100" i="2"/>
  <c r="L100" i="2"/>
  <c r="K100" i="2"/>
  <c r="J100" i="2"/>
  <c r="I100" i="2"/>
  <c r="H100" i="2"/>
  <c r="G100" i="2"/>
  <c r="F100" i="2"/>
  <c r="E100" i="2"/>
  <c r="D100" i="2"/>
  <c r="N99" i="2"/>
  <c r="M99" i="2"/>
  <c r="L99" i="2"/>
  <c r="K99" i="2"/>
  <c r="J99" i="2"/>
  <c r="I99" i="2"/>
  <c r="H99" i="2"/>
  <c r="G99" i="2"/>
  <c r="F99" i="2"/>
  <c r="E99" i="2"/>
  <c r="D99" i="2"/>
  <c r="N98" i="2"/>
  <c r="M98" i="2"/>
  <c r="L98" i="2"/>
  <c r="K98" i="2"/>
  <c r="J98" i="2"/>
  <c r="I98" i="2"/>
  <c r="H98" i="2"/>
  <c r="G98" i="2"/>
  <c r="F98" i="2"/>
  <c r="E98" i="2"/>
  <c r="D98" i="2"/>
  <c r="N97" i="2"/>
  <c r="M97" i="2"/>
  <c r="L97" i="2"/>
  <c r="K97" i="2"/>
  <c r="J97" i="2"/>
  <c r="I97" i="2"/>
  <c r="H97" i="2"/>
  <c r="G97" i="2"/>
  <c r="F97" i="2"/>
  <c r="E97" i="2"/>
  <c r="D97" i="2"/>
  <c r="N96" i="2"/>
  <c r="M96" i="2"/>
  <c r="L96" i="2"/>
  <c r="K96" i="2"/>
  <c r="J96" i="2"/>
  <c r="I96" i="2"/>
  <c r="H96" i="2"/>
  <c r="G96" i="2"/>
  <c r="F96" i="2"/>
  <c r="E96" i="2"/>
  <c r="D96" i="2"/>
  <c r="N95" i="2"/>
  <c r="M95" i="2"/>
  <c r="L95" i="2"/>
  <c r="K95" i="2"/>
  <c r="J95" i="2"/>
  <c r="I95" i="2"/>
  <c r="H95" i="2"/>
  <c r="G95" i="2"/>
  <c r="F95" i="2"/>
  <c r="E95" i="2"/>
  <c r="D95" i="2"/>
  <c r="N94" i="2"/>
  <c r="M94" i="2"/>
  <c r="L94" i="2"/>
  <c r="K94" i="2"/>
  <c r="J94" i="2"/>
  <c r="I94" i="2"/>
  <c r="H94" i="2"/>
  <c r="G94" i="2"/>
  <c r="F94" i="2"/>
  <c r="E94" i="2"/>
  <c r="D94" i="2"/>
  <c r="N93" i="2"/>
  <c r="M93" i="2"/>
  <c r="L93" i="2"/>
  <c r="K93" i="2"/>
  <c r="J93" i="2"/>
  <c r="I93" i="2"/>
  <c r="H93" i="2"/>
  <c r="G93" i="2"/>
  <c r="F93" i="2"/>
  <c r="E93" i="2"/>
  <c r="D93" i="2"/>
  <c r="N92" i="2"/>
  <c r="M92" i="2"/>
  <c r="L92" i="2"/>
  <c r="K92" i="2"/>
  <c r="J92" i="2"/>
  <c r="I92" i="2"/>
  <c r="H92" i="2"/>
  <c r="G92" i="2"/>
  <c r="F92" i="2"/>
  <c r="E92" i="2"/>
  <c r="D92" i="2"/>
  <c r="N91" i="2"/>
  <c r="M91" i="2"/>
  <c r="L91" i="2"/>
  <c r="K91" i="2"/>
  <c r="J91" i="2"/>
  <c r="I91" i="2"/>
  <c r="H91" i="2"/>
  <c r="G91" i="2"/>
  <c r="F91" i="2"/>
  <c r="E91" i="2"/>
  <c r="D91" i="2"/>
  <c r="N90" i="2"/>
  <c r="M90" i="2"/>
  <c r="L90" i="2"/>
  <c r="K90" i="2"/>
  <c r="J90" i="2"/>
  <c r="I90" i="2"/>
  <c r="H90" i="2"/>
  <c r="G90" i="2"/>
  <c r="F90" i="2"/>
  <c r="E90" i="2"/>
  <c r="D90" i="2"/>
  <c r="N89" i="2"/>
  <c r="M89" i="2"/>
  <c r="L89" i="2"/>
  <c r="K89" i="2"/>
  <c r="J89" i="2"/>
  <c r="I89" i="2"/>
  <c r="H89" i="2"/>
  <c r="G89" i="2"/>
  <c r="F89" i="2"/>
  <c r="E89" i="2"/>
  <c r="D89" i="2"/>
  <c r="N88" i="2"/>
  <c r="M88" i="2"/>
  <c r="L88" i="2"/>
  <c r="K88" i="2"/>
  <c r="J88" i="2"/>
  <c r="I88" i="2"/>
  <c r="H88" i="2"/>
  <c r="G88" i="2"/>
  <c r="F88" i="2"/>
  <c r="E88" i="2"/>
  <c r="D88" i="2"/>
  <c r="N87" i="2"/>
  <c r="M87" i="2"/>
  <c r="L87" i="2"/>
  <c r="K87" i="2"/>
  <c r="J87" i="2"/>
  <c r="I87" i="2"/>
  <c r="H87" i="2"/>
  <c r="G87" i="2"/>
  <c r="F87" i="2"/>
  <c r="E87" i="2"/>
  <c r="D87" i="2"/>
  <c r="N86" i="2"/>
  <c r="M86" i="2"/>
  <c r="L86" i="2"/>
  <c r="K86" i="2"/>
  <c r="J86" i="2"/>
  <c r="I86" i="2"/>
  <c r="H86" i="2"/>
  <c r="G86" i="2"/>
  <c r="F86" i="2"/>
  <c r="E86" i="2"/>
  <c r="D86" i="2"/>
  <c r="N85" i="2"/>
  <c r="M85" i="2"/>
  <c r="L85" i="2"/>
  <c r="K85" i="2"/>
  <c r="J85" i="2"/>
  <c r="I85" i="2"/>
  <c r="H85" i="2"/>
  <c r="G85" i="2"/>
  <c r="F85" i="2"/>
  <c r="E85" i="2"/>
  <c r="D85" i="2"/>
  <c r="N84" i="2"/>
  <c r="M84" i="2"/>
  <c r="L84" i="2"/>
  <c r="K84" i="2"/>
  <c r="J84" i="2"/>
  <c r="I84" i="2"/>
  <c r="H84" i="2"/>
  <c r="G84" i="2"/>
  <c r="F84" i="2"/>
  <c r="E84" i="2"/>
  <c r="D84" i="2"/>
  <c r="N83" i="2"/>
  <c r="M83" i="2"/>
  <c r="L83" i="2"/>
  <c r="K83" i="2"/>
  <c r="J83" i="2"/>
  <c r="I83" i="2"/>
  <c r="H83" i="2"/>
  <c r="G83" i="2"/>
  <c r="F83" i="2"/>
  <c r="E83" i="2"/>
  <c r="D83" i="2"/>
  <c r="N82" i="2"/>
  <c r="M82" i="2"/>
  <c r="L82" i="2"/>
  <c r="K82" i="2"/>
  <c r="J82" i="2"/>
  <c r="I82" i="2"/>
  <c r="H82" i="2"/>
  <c r="G82" i="2"/>
  <c r="F82" i="2"/>
  <c r="E82" i="2"/>
  <c r="D82" i="2"/>
  <c r="N81" i="2"/>
  <c r="M81" i="2"/>
  <c r="L81" i="2"/>
  <c r="K81" i="2"/>
  <c r="J81" i="2"/>
  <c r="I81" i="2"/>
  <c r="H81" i="2"/>
  <c r="G81" i="2"/>
  <c r="F81" i="2"/>
  <c r="E81" i="2"/>
  <c r="D81" i="2"/>
  <c r="N80" i="2"/>
  <c r="M80" i="2"/>
  <c r="L80" i="2"/>
  <c r="K80" i="2"/>
  <c r="J80" i="2"/>
  <c r="I80" i="2"/>
  <c r="H80" i="2"/>
  <c r="G80" i="2"/>
  <c r="F80" i="2"/>
  <c r="E80" i="2"/>
  <c r="D80" i="2"/>
  <c r="N79" i="2"/>
  <c r="M79" i="2"/>
  <c r="L79" i="2"/>
  <c r="K79" i="2"/>
  <c r="J79" i="2"/>
  <c r="I79" i="2"/>
  <c r="H79" i="2"/>
  <c r="G79" i="2"/>
  <c r="F79" i="2"/>
  <c r="E79" i="2"/>
  <c r="D79" i="2"/>
  <c r="N78" i="2"/>
  <c r="M78" i="2"/>
  <c r="L78" i="2"/>
  <c r="K78" i="2"/>
  <c r="J78" i="2"/>
  <c r="I78" i="2"/>
  <c r="H78" i="2"/>
  <c r="G78" i="2"/>
  <c r="F78" i="2"/>
  <c r="E78" i="2"/>
  <c r="D78" i="2"/>
  <c r="N77" i="2"/>
  <c r="M77" i="2"/>
  <c r="L77" i="2"/>
  <c r="K77" i="2"/>
  <c r="J77" i="2"/>
  <c r="I77" i="2"/>
  <c r="H77" i="2"/>
  <c r="G77" i="2"/>
  <c r="F77" i="2"/>
  <c r="E77" i="2"/>
  <c r="D77" i="2"/>
  <c r="N76" i="2"/>
  <c r="M76" i="2"/>
  <c r="L76" i="2"/>
  <c r="K76" i="2"/>
  <c r="J76" i="2"/>
  <c r="I76" i="2"/>
  <c r="H76" i="2"/>
  <c r="G76" i="2"/>
  <c r="F76" i="2"/>
  <c r="E76" i="2"/>
  <c r="D76" i="2"/>
  <c r="N75" i="2"/>
  <c r="M75" i="2"/>
  <c r="L75" i="2"/>
  <c r="K75" i="2"/>
  <c r="J75" i="2"/>
  <c r="I75" i="2"/>
  <c r="H75" i="2"/>
  <c r="G75" i="2"/>
  <c r="F75" i="2"/>
  <c r="E75" i="2"/>
  <c r="D75" i="2"/>
  <c r="N74" i="2"/>
  <c r="M74" i="2"/>
  <c r="L74" i="2"/>
  <c r="K74" i="2"/>
  <c r="J74" i="2"/>
  <c r="I74" i="2"/>
  <c r="H74" i="2"/>
  <c r="G74" i="2"/>
  <c r="F74" i="2"/>
  <c r="E74" i="2"/>
  <c r="D74" i="2"/>
  <c r="N73" i="2"/>
  <c r="M73" i="2"/>
  <c r="L73" i="2"/>
  <c r="K73" i="2"/>
  <c r="J73" i="2"/>
  <c r="I73" i="2"/>
  <c r="H73" i="2"/>
  <c r="G73" i="2"/>
  <c r="F73" i="2"/>
  <c r="E73" i="2"/>
  <c r="D73" i="2"/>
  <c r="N72" i="2"/>
  <c r="M72" i="2"/>
  <c r="L72" i="2"/>
  <c r="K72" i="2"/>
  <c r="J72" i="2"/>
  <c r="I72" i="2"/>
  <c r="H72" i="2"/>
  <c r="G72" i="2"/>
  <c r="F72" i="2"/>
  <c r="E72" i="2"/>
  <c r="D72" i="2"/>
  <c r="N71" i="2"/>
  <c r="M71" i="2"/>
  <c r="L71" i="2"/>
  <c r="K71" i="2"/>
  <c r="J71" i="2"/>
  <c r="I71" i="2"/>
  <c r="H71" i="2"/>
  <c r="G71" i="2"/>
  <c r="F71" i="2"/>
  <c r="E71" i="2"/>
  <c r="D71" i="2"/>
  <c r="N70" i="2"/>
  <c r="M70" i="2"/>
  <c r="L70" i="2"/>
  <c r="K70" i="2"/>
  <c r="J70" i="2"/>
  <c r="I70" i="2"/>
  <c r="H70" i="2"/>
  <c r="G70" i="2"/>
  <c r="F70" i="2"/>
  <c r="E70" i="2"/>
  <c r="D70" i="2"/>
  <c r="N69" i="2"/>
  <c r="M69" i="2"/>
  <c r="L69" i="2"/>
  <c r="K69" i="2"/>
  <c r="J69" i="2"/>
  <c r="I69" i="2"/>
  <c r="H69" i="2"/>
  <c r="G69" i="2"/>
  <c r="F69" i="2"/>
  <c r="E69" i="2"/>
  <c r="D69" i="2"/>
  <c r="N68" i="2"/>
  <c r="M68" i="2"/>
  <c r="L68" i="2"/>
  <c r="K68" i="2"/>
  <c r="J68" i="2"/>
  <c r="I68" i="2"/>
  <c r="H68" i="2"/>
  <c r="G68" i="2"/>
  <c r="F68" i="2"/>
  <c r="E68" i="2"/>
  <c r="D68" i="2"/>
  <c r="N67" i="2"/>
  <c r="M67" i="2"/>
  <c r="L67" i="2"/>
  <c r="K67" i="2"/>
  <c r="J67" i="2"/>
  <c r="I67" i="2"/>
  <c r="H67" i="2"/>
  <c r="G67" i="2"/>
  <c r="F67" i="2"/>
  <c r="E67" i="2"/>
  <c r="D67" i="2"/>
  <c r="N66" i="2"/>
  <c r="M66" i="2"/>
  <c r="L66" i="2"/>
  <c r="K66" i="2"/>
  <c r="J66" i="2"/>
  <c r="I66" i="2"/>
  <c r="H66" i="2"/>
  <c r="G66" i="2"/>
  <c r="F66" i="2"/>
  <c r="E66" i="2"/>
  <c r="D66" i="2"/>
  <c r="N65" i="2"/>
  <c r="M65" i="2"/>
  <c r="L65" i="2"/>
  <c r="K65" i="2"/>
  <c r="J65" i="2"/>
  <c r="I65" i="2"/>
  <c r="H65" i="2"/>
  <c r="G65" i="2"/>
  <c r="F65" i="2"/>
  <c r="E65" i="2"/>
  <c r="D65" i="2"/>
  <c r="N64" i="2"/>
  <c r="M64" i="2"/>
  <c r="L64" i="2"/>
  <c r="K64" i="2"/>
  <c r="J64" i="2"/>
  <c r="I64" i="2"/>
  <c r="H64" i="2"/>
  <c r="G64" i="2"/>
  <c r="F64" i="2"/>
  <c r="E64" i="2"/>
  <c r="D64" i="2"/>
  <c r="N63" i="2"/>
  <c r="M63" i="2"/>
  <c r="L63" i="2"/>
  <c r="K63" i="2"/>
  <c r="J63" i="2"/>
  <c r="I63" i="2"/>
  <c r="H63" i="2"/>
  <c r="G63" i="2"/>
  <c r="F63" i="2"/>
  <c r="E63" i="2"/>
  <c r="D63" i="2"/>
  <c r="N62" i="2"/>
  <c r="M62" i="2"/>
  <c r="L62" i="2"/>
  <c r="K62" i="2"/>
  <c r="J62" i="2"/>
  <c r="I62" i="2"/>
  <c r="H62" i="2"/>
  <c r="G62" i="2"/>
  <c r="F62" i="2"/>
  <c r="E62" i="2"/>
  <c r="D62" i="2"/>
  <c r="N61" i="2"/>
  <c r="M61" i="2"/>
  <c r="L61" i="2"/>
  <c r="K61" i="2"/>
  <c r="J61" i="2"/>
  <c r="I61" i="2"/>
  <c r="H61" i="2"/>
  <c r="G61" i="2"/>
  <c r="F61" i="2"/>
  <c r="E61" i="2"/>
  <c r="D61" i="2"/>
  <c r="N60" i="2"/>
  <c r="M60" i="2"/>
  <c r="L60" i="2"/>
  <c r="K60" i="2"/>
  <c r="J60" i="2"/>
  <c r="I60" i="2"/>
  <c r="H60" i="2"/>
  <c r="G60" i="2"/>
  <c r="F60" i="2"/>
  <c r="E60" i="2"/>
  <c r="D60" i="2"/>
  <c r="N59" i="2"/>
  <c r="M59" i="2"/>
  <c r="L59" i="2"/>
  <c r="K59" i="2"/>
  <c r="J59" i="2"/>
  <c r="I59" i="2"/>
  <c r="H59" i="2"/>
  <c r="G59" i="2"/>
  <c r="F59" i="2"/>
  <c r="E59" i="2"/>
  <c r="D59" i="2"/>
  <c r="N58" i="2"/>
  <c r="M58" i="2"/>
  <c r="L58" i="2"/>
  <c r="K58" i="2"/>
  <c r="J58" i="2"/>
  <c r="I58" i="2"/>
  <c r="H58" i="2"/>
  <c r="G58" i="2"/>
  <c r="F58" i="2"/>
  <c r="E58" i="2"/>
  <c r="D58" i="2"/>
  <c r="N57" i="2"/>
  <c r="M57" i="2"/>
  <c r="L57" i="2"/>
  <c r="K57" i="2"/>
  <c r="J57" i="2"/>
  <c r="I57" i="2"/>
  <c r="H57" i="2"/>
  <c r="G57" i="2"/>
  <c r="F57" i="2"/>
  <c r="E57" i="2"/>
  <c r="D57" i="2"/>
  <c r="N56" i="2"/>
  <c r="M56" i="2"/>
  <c r="L56" i="2"/>
  <c r="K56" i="2"/>
  <c r="J56" i="2"/>
  <c r="I56" i="2"/>
  <c r="H56" i="2"/>
  <c r="G56" i="2"/>
  <c r="F56" i="2"/>
  <c r="E56" i="2"/>
  <c r="D56" i="2"/>
  <c r="N55" i="2"/>
  <c r="M55" i="2"/>
  <c r="L55" i="2"/>
  <c r="K55" i="2"/>
  <c r="J55" i="2"/>
  <c r="I55" i="2"/>
  <c r="H55" i="2"/>
  <c r="G55" i="2"/>
  <c r="F55" i="2"/>
  <c r="E55" i="2"/>
  <c r="D55" i="2"/>
  <c r="N54" i="2"/>
  <c r="M54" i="2"/>
  <c r="L54" i="2"/>
  <c r="K54" i="2"/>
  <c r="J54" i="2"/>
  <c r="I54" i="2"/>
  <c r="H54" i="2"/>
  <c r="G54" i="2"/>
  <c r="F54" i="2"/>
  <c r="E54" i="2"/>
  <c r="D54" i="2"/>
  <c r="N53" i="2"/>
  <c r="M53" i="2"/>
  <c r="L53" i="2"/>
  <c r="K53" i="2"/>
  <c r="J53" i="2"/>
  <c r="I53" i="2"/>
  <c r="H53" i="2"/>
  <c r="G53" i="2"/>
  <c r="F53" i="2"/>
  <c r="E53" i="2"/>
  <c r="D53" i="2"/>
  <c r="N52" i="2"/>
  <c r="M52" i="2"/>
  <c r="L52" i="2"/>
  <c r="K52" i="2"/>
  <c r="J52" i="2"/>
  <c r="I52" i="2"/>
  <c r="H52" i="2"/>
  <c r="G52" i="2"/>
  <c r="F52" i="2"/>
  <c r="E52" i="2"/>
  <c r="D52" i="2"/>
  <c r="N51" i="2"/>
  <c r="M51" i="2"/>
  <c r="L51" i="2"/>
  <c r="K51" i="2"/>
  <c r="J51" i="2"/>
  <c r="I51" i="2"/>
  <c r="H51" i="2"/>
  <c r="G51" i="2"/>
  <c r="F51" i="2"/>
  <c r="E51" i="2"/>
  <c r="D51" i="2"/>
  <c r="N50" i="2"/>
  <c r="M50" i="2"/>
  <c r="L50" i="2"/>
  <c r="K50" i="2"/>
  <c r="J50" i="2"/>
  <c r="I50" i="2"/>
  <c r="H50" i="2"/>
  <c r="G50" i="2"/>
  <c r="F50" i="2"/>
  <c r="E50" i="2"/>
  <c r="D50" i="2"/>
  <c r="N49" i="2"/>
  <c r="M49" i="2"/>
  <c r="L49" i="2"/>
  <c r="K49" i="2"/>
  <c r="J49" i="2"/>
  <c r="I49" i="2"/>
  <c r="H49" i="2"/>
  <c r="G49" i="2"/>
  <c r="F49" i="2"/>
  <c r="E49" i="2"/>
  <c r="D49" i="2"/>
  <c r="N48" i="2"/>
  <c r="M48" i="2"/>
  <c r="L48" i="2"/>
  <c r="K48" i="2"/>
  <c r="J48" i="2"/>
  <c r="I48" i="2"/>
  <c r="H48" i="2"/>
  <c r="G48" i="2"/>
  <c r="F48" i="2"/>
  <c r="E48" i="2"/>
  <c r="D48" i="2"/>
  <c r="N47" i="2"/>
  <c r="M47" i="2"/>
  <c r="L47" i="2"/>
  <c r="K47" i="2"/>
  <c r="J47" i="2"/>
  <c r="I47" i="2"/>
  <c r="H47" i="2"/>
  <c r="G47" i="2"/>
  <c r="F47" i="2"/>
  <c r="E47" i="2"/>
  <c r="D47" i="2"/>
  <c r="N46" i="2"/>
  <c r="M46" i="2"/>
  <c r="L46" i="2"/>
  <c r="K46" i="2"/>
  <c r="J46" i="2"/>
  <c r="I46" i="2"/>
  <c r="H46" i="2"/>
  <c r="G46" i="2"/>
  <c r="F46" i="2"/>
  <c r="E46" i="2"/>
  <c r="D46" i="2"/>
  <c r="N45" i="2"/>
  <c r="M45" i="2"/>
  <c r="L45" i="2"/>
  <c r="K45" i="2"/>
  <c r="J45" i="2"/>
  <c r="I45" i="2"/>
  <c r="H45" i="2"/>
  <c r="G45" i="2"/>
  <c r="F45" i="2"/>
  <c r="E45" i="2"/>
  <c r="D45" i="2"/>
  <c r="N44" i="2"/>
  <c r="M44" i="2"/>
  <c r="L44" i="2"/>
  <c r="K44" i="2"/>
  <c r="J44" i="2"/>
  <c r="I44" i="2"/>
  <c r="H44" i="2"/>
  <c r="G44" i="2"/>
  <c r="F44" i="2"/>
  <c r="E44" i="2"/>
  <c r="D44" i="2"/>
  <c r="N43" i="2"/>
  <c r="M43" i="2"/>
  <c r="L43" i="2"/>
  <c r="K43" i="2"/>
  <c r="J43" i="2"/>
  <c r="I43" i="2"/>
  <c r="H43" i="2"/>
  <c r="G43" i="2"/>
  <c r="F43" i="2"/>
  <c r="E43" i="2"/>
  <c r="D43" i="2"/>
  <c r="N42" i="2"/>
  <c r="M42" i="2"/>
  <c r="L42" i="2"/>
  <c r="K42" i="2"/>
  <c r="J42" i="2"/>
  <c r="I42" i="2"/>
  <c r="H42" i="2"/>
  <c r="G42" i="2"/>
  <c r="F42" i="2"/>
  <c r="E42" i="2"/>
  <c r="D42" i="2"/>
  <c r="N41" i="2"/>
  <c r="M41" i="2"/>
  <c r="L41" i="2"/>
  <c r="K41" i="2"/>
  <c r="J41" i="2"/>
  <c r="I41" i="2"/>
  <c r="H41" i="2"/>
  <c r="G41" i="2"/>
  <c r="F41" i="2"/>
  <c r="E41" i="2"/>
  <c r="D41" i="2"/>
  <c r="N40" i="2"/>
  <c r="M40" i="2"/>
  <c r="L40" i="2"/>
  <c r="K40" i="2"/>
  <c r="J40" i="2"/>
  <c r="I40" i="2"/>
  <c r="H40" i="2"/>
  <c r="G40" i="2"/>
  <c r="F40" i="2"/>
  <c r="E40" i="2"/>
  <c r="D40" i="2"/>
  <c r="N39" i="2"/>
  <c r="M39" i="2"/>
  <c r="L39" i="2"/>
  <c r="K39" i="2"/>
  <c r="J39" i="2"/>
  <c r="I39" i="2"/>
  <c r="H39" i="2"/>
  <c r="G39" i="2"/>
  <c r="F39" i="2"/>
  <c r="E39" i="2"/>
  <c r="D39" i="2"/>
  <c r="N38" i="2"/>
  <c r="M38" i="2"/>
  <c r="L38" i="2"/>
  <c r="K38" i="2"/>
  <c r="J38" i="2"/>
  <c r="I38" i="2"/>
  <c r="H38" i="2"/>
  <c r="G38" i="2"/>
  <c r="F38" i="2"/>
  <c r="E38" i="2"/>
  <c r="D38" i="2"/>
  <c r="N37" i="2"/>
  <c r="M37" i="2"/>
  <c r="L37" i="2"/>
  <c r="K37" i="2"/>
  <c r="J37" i="2"/>
  <c r="I37" i="2"/>
  <c r="H37" i="2"/>
  <c r="G37" i="2"/>
  <c r="F37" i="2"/>
  <c r="E37" i="2"/>
  <c r="D37" i="2"/>
  <c r="N36" i="2"/>
  <c r="M36" i="2"/>
  <c r="L36" i="2"/>
  <c r="K36" i="2"/>
  <c r="J36" i="2"/>
  <c r="I36" i="2"/>
  <c r="H36" i="2"/>
  <c r="G36" i="2"/>
  <c r="F36" i="2"/>
  <c r="E36" i="2"/>
  <c r="D36" i="2"/>
  <c r="N35" i="2"/>
  <c r="M35" i="2"/>
  <c r="L35" i="2"/>
  <c r="K35" i="2"/>
  <c r="J35" i="2"/>
  <c r="I35" i="2"/>
  <c r="H35" i="2"/>
  <c r="G35" i="2"/>
  <c r="F35" i="2"/>
  <c r="E35" i="2"/>
  <c r="D35" i="2"/>
  <c r="N34" i="2"/>
  <c r="M34" i="2"/>
  <c r="L34" i="2"/>
  <c r="K34" i="2"/>
  <c r="J34" i="2"/>
  <c r="I34" i="2"/>
  <c r="H34" i="2"/>
  <c r="G34" i="2"/>
  <c r="F34" i="2"/>
  <c r="E34" i="2"/>
  <c r="D34" i="2"/>
  <c r="N33" i="2"/>
  <c r="M33" i="2"/>
  <c r="L33" i="2"/>
  <c r="K33" i="2"/>
  <c r="J33" i="2"/>
  <c r="I33" i="2"/>
  <c r="H33" i="2"/>
  <c r="G33" i="2"/>
  <c r="F33" i="2"/>
  <c r="E33" i="2"/>
  <c r="D33" i="2"/>
  <c r="N32" i="2"/>
  <c r="M32" i="2"/>
  <c r="L32" i="2"/>
  <c r="K32" i="2"/>
  <c r="J32" i="2"/>
  <c r="I32" i="2"/>
  <c r="H32" i="2"/>
  <c r="G32" i="2"/>
  <c r="F32" i="2"/>
  <c r="E32" i="2"/>
  <c r="D32" i="2"/>
  <c r="N31" i="2"/>
  <c r="M31" i="2"/>
  <c r="L31" i="2"/>
  <c r="K31" i="2"/>
  <c r="J31" i="2"/>
  <c r="I31" i="2"/>
  <c r="H31" i="2"/>
  <c r="G31" i="2"/>
  <c r="F31" i="2"/>
  <c r="E31" i="2"/>
  <c r="D31" i="2"/>
  <c r="N30" i="2"/>
  <c r="M30" i="2"/>
  <c r="L30" i="2"/>
  <c r="K30" i="2"/>
  <c r="J30" i="2"/>
  <c r="I30" i="2"/>
  <c r="H30" i="2"/>
  <c r="G30" i="2"/>
  <c r="F30" i="2"/>
  <c r="E30" i="2"/>
  <c r="D30" i="2"/>
  <c r="N29" i="2"/>
  <c r="M29" i="2"/>
  <c r="L29" i="2"/>
  <c r="K29" i="2"/>
  <c r="J29" i="2"/>
  <c r="I29" i="2"/>
  <c r="H29" i="2"/>
  <c r="G29" i="2"/>
  <c r="F29" i="2"/>
  <c r="E29" i="2"/>
  <c r="D29" i="2"/>
  <c r="N28" i="2"/>
  <c r="M28" i="2"/>
  <c r="L28" i="2"/>
  <c r="K28" i="2"/>
  <c r="J28" i="2"/>
  <c r="I28" i="2"/>
  <c r="H28" i="2"/>
  <c r="G28" i="2"/>
  <c r="F28" i="2"/>
  <c r="E28" i="2"/>
  <c r="D28" i="2"/>
  <c r="N27" i="2"/>
  <c r="M27" i="2"/>
  <c r="L27" i="2"/>
  <c r="K27" i="2"/>
  <c r="J27" i="2"/>
  <c r="I27" i="2"/>
  <c r="H27" i="2"/>
  <c r="G27" i="2"/>
  <c r="F27" i="2"/>
  <c r="E27" i="2"/>
  <c r="D27" i="2"/>
  <c r="N26" i="2"/>
  <c r="M26" i="2"/>
  <c r="L26" i="2"/>
  <c r="K26" i="2"/>
  <c r="J26" i="2"/>
  <c r="I26" i="2"/>
  <c r="H26" i="2"/>
  <c r="G26" i="2"/>
  <c r="F26" i="2"/>
  <c r="E26" i="2"/>
  <c r="D26" i="2"/>
  <c r="N25" i="2"/>
  <c r="M25" i="2"/>
  <c r="L25" i="2"/>
  <c r="K25" i="2"/>
  <c r="J25" i="2"/>
  <c r="I25" i="2"/>
  <c r="H25" i="2"/>
  <c r="G25" i="2"/>
  <c r="F25" i="2"/>
  <c r="E25" i="2"/>
  <c r="D25" i="2"/>
  <c r="N24" i="2"/>
  <c r="M24" i="2"/>
  <c r="L24" i="2"/>
  <c r="K24" i="2"/>
  <c r="J24" i="2"/>
  <c r="I24" i="2"/>
  <c r="H24" i="2"/>
  <c r="G24" i="2"/>
  <c r="F24" i="2"/>
  <c r="E24" i="2"/>
  <c r="D24" i="2"/>
  <c r="N23" i="2"/>
  <c r="M23" i="2"/>
  <c r="L23" i="2"/>
  <c r="K23" i="2"/>
  <c r="J23" i="2"/>
  <c r="I23" i="2"/>
  <c r="H23" i="2"/>
  <c r="G23" i="2"/>
  <c r="F23" i="2"/>
  <c r="E23" i="2"/>
  <c r="D23" i="2"/>
  <c r="N22" i="2"/>
  <c r="M22" i="2"/>
  <c r="L22" i="2"/>
  <c r="K22" i="2"/>
  <c r="J22" i="2"/>
  <c r="I22" i="2"/>
  <c r="H22" i="2"/>
  <c r="G22" i="2"/>
  <c r="F22" i="2"/>
  <c r="E22" i="2"/>
  <c r="D22" i="2"/>
  <c r="N21" i="2"/>
  <c r="M21" i="2"/>
  <c r="L21" i="2"/>
  <c r="K21" i="2"/>
  <c r="J21" i="2"/>
  <c r="I21" i="2"/>
  <c r="H21" i="2"/>
  <c r="G21" i="2"/>
  <c r="F21" i="2"/>
  <c r="E21" i="2"/>
  <c r="D21" i="2"/>
  <c r="N20" i="2"/>
  <c r="M20" i="2"/>
  <c r="L20" i="2"/>
  <c r="K20" i="2"/>
  <c r="J20" i="2"/>
  <c r="I20" i="2"/>
  <c r="H20" i="2"/>
  <c r="G20" i="2"/>
  <c r="F20" i="2"/>
  <c r="E20" i="2"/>
  <c r="D20" i="2"/>
  <c r="N19" i="2"/>
  <c r="M19" i="2"/>
  <c r="L19" i="2"/>
  <c r="K19" i="2"/>
  <c r="J19" i="2"/>
  <c r="I19" i="2"/>
  <c r="H19" i="2"/>
  <c r="G19" i="2"/>
  <c r="F19" i="2"/>
  <c r="E19" i="2"/>
  <c r="D19" i="2"/>
  <c r="N18" i="2"/>
  <c r="M18" i="2"/>
  <c r="L18" i="2"/>
  <c r="K18" i="2"/>
  <c r="J18" i="2"/>
  <c r="I18" i="2"/>
  <c r="H18" i="2"/>
  <c r="G18" i="2"/>
  <c r="F18" i="2"/>
  <c r="E18" i="2"/>
  <c r="D18" i="2"/>
  <c r="N17" i="2"/>
  <c r="M17" i="2"/>
  <c r="L17" i="2"/>
  <c r="K17" i="2"/>
  <c r="J17" i="2"/>
  <c r="I17" i="2"/>
  <c r="H17" i="2"/>
  <c r="G17" i="2"/>
  <c r="F17" i="2"/>
  <c r="E17" i="2"/>
  <c r="D17" i="2"/>
  <c r="N16" i="2"/>
  <c r="M16" i="2"/>
  <c r="L16" i="2"/>
  <c r="K16" i="2"/>
  <c r="J16" i="2"/>
  <c r="I16" i="2"/>
  <c r="H16" i="2"/>
  <c r="G16" i="2"/>
  <c r="F16" i="2"/>
  <c r="E16" i="2"/>
  <c r="D16" i="2"/>
  <c r="N15" i="2"/>
  <c r="M15" i="2"/>
  <c r="L15" i="2"/>
  <c r="K15" i="2"/>
  <c r="J15" i="2"/>
  <c r="I15" i="2"/>
  <c r="H15" i="2"/>
  <c r="G15" i="2"/>
  <c r="F15" i="2"/>
  <c r="E15" i="2"/>
  <c r="D15" i="2"/>
  <c r="N14" i="2"/>
  <c r="M14" i="2"/>
  <c r="L14" i="2"/>
  <c r="K14" i="2"/>
  <c r="J14" i="2"/>
  <c r="I14" i="2"/>
  <c r="H14" i="2"/>
  <c r="G14" i="2"/>
  <c r="F14" i="2"/>
  <c r="E14" i="2"/>
  <c r="D14" i="2"/>
  <c r="N13" i="2"/>
  <c r="M13" i="2"/>
  <c r="L13" i="2"/>
  <c r="K13" i="2"/>
  <c r="J13" i="2"/>
  <c r="I13" i="2"/>
  <c r="H13" i="2"/>
  <c r="G13" i="2"/>
  <c r="F13" i="2"/>
  <c r="E13" i="2"/>
  <c r="D13" i="2"/>
  <c r="N12" i="2"/>
  <c r="M12" i="2"/>
  <c r="L12" i="2"/>
  <c r="K12" i="2"/>
  <c r="J12" i="2"/>
  <c r="I12" i="2"/>
  <c r="H12" i="2"/>
  <c r="G12" i="2"/>
  <c r="F12" i="2"/>
  <c r="E12" i="2"/>
  <c r="D12" i="2"/>
  <c r="N11" i="2"/>
  <c r="M11" i="2"/>
  <c r="L11" i="2"/>
  <c r="K11" i="2"/>
  <c r="J11" i="2"/>
  <c r="I11" i="2"/>
  <c r="H11" i="2"/>
  <c r="G11" i="2"/>
  <c r="F11" i="2"/>
  <c r="E11" i="2"/>
  <c r="D11" i="2"/>
  <c r="N10" i="2"/>
  <c r="M10" i="2"/>
  <c r="L10" i="2"/>
  <c r="K10" i="2"/>
  <c r="J10" i="2"/>
  <c r="I10" i="2"/>
  <c r="H10" i="2"/>
  <c r="G10" i="2"/>
  <c r="F10" i="2"/>
  <c r="E10" i="2"/>
  <c r="D10" i="2"/>
  <c r="N9" i="2"/>
  <c r="M9" i="2"/>
  <c r="L9" i="2"/>
  <c r="K9" i="2"/>
  <c r="J9" i="2"/>
  <c r="I9" i="2"/>
  <c r="H9" i="2"/>
  <c r="G9" i="2"/>
  <c r="F9" i="2"/>
  <c r="E9" i="2"/>
  <c r="D9" i="2"/>
  <c r="N8" i="2"/>
  <c r="M8" i="2"/>
  <c r="L8" i="2"/>
  <c r="K8" i="2"/>
  <c r="J8" i="2"/>
  <c r="I8" i="2"/>
  <c r="H8" i="2"/>
  <c r="G8" i="2"/>
  <c r="F8" i="2"/>
  <c r="E8" i="2"/>
  <c r="D8" i="2"/>
  <c r="N7" i="2"/>
  <c r="M7" i="2"/>
  <c r="L7" i="2"/>
  <c r="K7" i="2"/>
  <c r="J7" i="2"/>
  <c r="I7" i="2"/>
  <c r="H7" i="2"/>
  <c r="G7" i="2"/>
  <c r="F7" i="2"/>
  <c r="E7" i="2"/>
  <c r="D7" i="2"/>
  <c r="N6" i="2"/>
  <c r="M6" i="2"/>
  <c r="L6" i="2"/>
  <c r="K6" i="2"/>
  <c r="J6" i="2"/>
  <c r="I6" i="2"/>
  <c r="H6" i="2"/>
  <c r="G6" i="2"/>
  <c r="F6" i="2"/>
  <c r="E6" i="2"/>
  <c r="D6" i="2"/>
  <c r="N5" i="2"/>
  <c r="M5" i="2"/>
  <c r="L5" i="2"/>
  <c r="K5" i="2"/>
  <c r="J5" i="2"/>
  <c r="I5" i="2"/>
  <c r="H5" i="2"/>
  <c r="G5" i="2"/>
  <c r="F5" i="2"/>
  <c r="E5" i="2"/>
  <c r="D5" i="2"/>
  <c r="N4" i="2"/>
  <c r="M4" i="2"/>
  <c r="L4" i="2"/>
  <c r="K4" i="2"/>
  <c r="J4" i="2"/>
  <c r="I4" i="2"/>
  <c r="H4" i="2"/>
  <c r="G4" i="2"/>
  <c r="F4" i="2"/>
  <c r="E4" i="2"/>
  <c r="D4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N3" i="2"/>
  <c r="M3" i="2"/>
  <c r="L3" i="2"/>
  <c r="K3" i="2"/>
  <c r="J3" i="2"/>
  <c r="I3" i="2"/>
  <c r="H3" i="2"/>
  <c r="G3" i="2"/>
  <c r="F3" i="2"/>
  <c r="E3" i="2"/>
  <c r="D3" i="2"/>
  <c r="C22" i="3"/>
  <c r="D22" i="3"/>
  <c r="F22" i="3"/>
  <c r="B22" i="3"/>
  <c r="D17" i="1" l="1"/>
  <c r="E17" i="1"/>
  <c r="F17" i="1"/>
  <c r="G17" i="1"/>
  <c r="C17" i="1"/>
  <c r="D15" i="1"/>
  <c r="E15" i="1"/>
  <c r="F15" i="1"/>
  <c r="G15" i="1"/>
  <c r="H15" i="1"/>
  <c r="C15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E10" i="1"/>
  <c r="F10" i="1"/>
  <c r="G10" i="1"/>
  <c r="H10" i="1"/>
  <c r="D10" i="1"/>
  <c r="C11" i="1"/>
  <c r="C12" i="1"/>
  <c r="C13" i="1"/>
  <c r="C14" i="1"/>
  <c r="C10" i="1"/>
</calcChain>
</file>

<file path=xl/sharedStrings.xml><?xml version="1.0" encoding="utf-8"?>
<sst xmlns="http://schemas.openxmlformats.org/spreadsheetml/2006/main" count="412" uniqueCount="32">
  <si>
    <t>From/to</t>
  </si>
  <si>
    <t>Curr Staff</t>
  </si>
  <si>
    <t xml:space="preserve">Top </t>
  </si>
  <si>
    <t>Mid</t>
  </si>
  <si>
    <t>Low</t>
  </si>
  <si>
    <t>Skill</t>
  </si>
  <si>
    <t>Assy</t>
  </si>
  <si>
    <t>Exit</t>
  </si>
  <si>
    <t>Top</t>
  </si>
  <si>
    <t>Internal Supply</t>
  </si>
  <si>
    <t>Shortfall/Access</t>
  </si>
  <si>
    <t>Identify recruits and layoffs for the matrix, if the company kept the same number of people as the Start/beginning</t>
  </si>
  <si>
    <t>What would be the shortfall if the requirements by respective departments (as given above) appeared as 100,200,600,600,&amp; 1700</t>
  </si>
  <si>
    <t>Employee ID</t>
  </si>
  <si>
    <t>Designation 2017</t>
  </si>
  <si>
    <t>Designation 2018</t>
  </si>
  <si>
    <t>Skilled</t>
  </si>
  <si>
    <t>Line</t>
  </si>
  <si>
    <t>N/A</t>
  </si>
  <si>
    <t>NA</t>
  </si>
  <si>
    <t>Row Labels</t>
  </si>
  <si>
    <t>Grand Total</t>
  </si>
  <si>
    <t>Column Labels</t>
  </si>
  <si>
    <t>Count of Designation 2017</t>
  </si>
  <si>
    <t>Prepare a transitory matrix of the following data:
Explain you analysis of the working of the company
**NA= Resigned
The requirement of the company is;
Top : 11
Mid : 45
Low: 53
Line : 19
Where is the shortfall in manpower planning?</t>
  </si>
  <si>
    <t>Req</t>
  </si>
  <si>
    <t>supply</t>
  </si>
  <si>
    <t>demand</t>
  </si>
  <si>
    <t>sf/excess</t>
  </si>
  <si>
    <t>(blank)</t>
  </si>
  <si>
    <t>req</t>
  </si>
  <si>
    <t>sf/ex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</si>
</sst>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0" fillId="0" borderId="0" xfId="0" applyBorder="1"/>
    <xf numFmtId="0" fontId="0" fillId="0" borderId="0" xfId="0" applyFill="1" applyBorder="1"/>
    <xf numFmtId="0" fontId="2" fillId="0" borderId="0" xfId="1"/>
    <xf numFmtId="0" fontId="3" fillId="0" borderId="0" xfId="1" applyFont="1"/>
    <xf numFmtId="0" fontId="3" fillId="0" borderId="6" xfId="1" applyFont="1" applyBorder="1"/>
    <xf numFmtId="0" fontId="3" fillId="0" borderId="7" xfId="1" applyFont="1" applyBorder="1"/>
    <xf numFmtId="0" fontId="3" fillId="0" borderId="8" xfId="1" applyFont="1" applyBorder="1"/>
    <xf numFmtId="0" fontId="3" fillId="0" borderId="9" xfId="1" applyFont="1" applyBorder="1"/>
    <xf numFmtId="0" fontId="2" fillId="0" borderId="1" xfId="1" applyBorder="1"/>
    <xf numFmtId="0" fontId="2" fillId="0" borderId="2" xfId="1" applyBorder="1"/>
    <xf numFmtId="0" fontId="2" fillId="0" borderId="10" xfId="1" applyBorder="1"/>
    <xf numFmtId="0" fontId="2" fillId="0" borderId="3" xfId="1" applyBorder="1"/>
    <xf numFmtId="0" fontId="2" fillId="0" borderId="4" xfId="1" applyBorder="1"/>
    <xf numFmtId="0" fontId="2" fillId="0" borderId="5" xfId="1" applyBorder="1"/>
    <xf numFmtId="0" fontId="2" fillId="0" borderId="11" xfId="1" applyBorder="1"/>
    <xf numFmtId="0" fontId="0" fillId="0" borderId="0" xfId="0" pivotButton="1"/>
    <xf numFmtId="0" fontId="0" fillId="0" borderId="0" xfId="0" applyAlignment="1">
      <alignment horizontal="left"/>
    </xf>
    <xf numFmtId="0" fontId="1" fillId="2" borderId="12" xfId="0" applyFont="1" applyFill="1" applyBorder="1"/>
    <xf numFmtId="0" fontId="0" fillId="0" borderId="0" xfId="0" applyNumberFormat="1"/>
    <xf numFmtId="0" fontId="1" fillId="2" borderId="13" xfId="0" applyFont="1" applyFill="1" applyBorder="1" applyAlignment="1">
      <alignment horizontal="left"/>
    </xf>
    <xf numFmtId="0" fontId="1" fillId="2" borderId="13" xfId="0" applyNumberFormat="1" applyFont="1" applyFill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0" fillId="3" borderId="0" xfId="0" applyFill="1"/>
  </cellXfs>
  <cellStyles count="2">
    <cellStyle name="Normal" xfId="0" builtinId="0"/>
    <cellStyle name="Normal 2" xfId="1" xr:uid="{4E1F6BAC-F69E-4DE2-901A-928661997F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kR illeR" refreshedDate="46020.46695347222" createdVersion="8" refreshedVersion="8" minRefreshableVersion="3" recordCount="135" xr:uid="{CC92115A-CED9-4614-93D5-6CFB59F6142C}">
  <cacheSource type="worksheet">
    <worksheetSource ref="B2:N137" sheet="Sheet2"/>
  </cacheSource>
  <cacheFields count="13">
    <cacheField name="Designation 2017" numFmtId="0">
      <sharedItems count="5">
        <s v="Low"/>
        <s v="Line"/>
        <s v="Skilled"/>
        <s v="Mid"/>
        <s v="Top"/>
      </sharedItems>
    </cacheField>
    <cacheField name="Designation 2018" numFmtId="0">
      <sharedItems count="5">
        <s v="Low"/>
        <s v="Line"/>
        <s v="NA"/>
        <s v="Mid"/>
        <s v="Top"/>
      </sharedItems>
    </cacheField>
    <cacheField name="Top" numFmtId="0">
      <sharedItems containsSemiMixedTypes="0" containsString="0" containsNumber="1" containsInteger="1" minValue="0" maxValue="1"/>
    </cacheField>
    <cacheField name="Mid" numFmtId="0">
      <sharedItems containsSemiMixedTypes="0" containsString="0" containsNumber="1" containsInteger="1" minValue="0" maxValue="1"/>
    </cacheField>
    <cacheField name="Low" numFmtId="0">
      <sharedItems containsSemiMixedTypes="0" containsString="0" containsNumber="1" containsInteger="1" minValue="0" maxValue="1"/>
    </cacheField>
    <cacheField name="Skilled" numFmtId="0">
      <sharedItems containsSemiMixedTypes="0" containsString="0" containsNumber="1" containsInteger="1" minValue="0" maxValue="1"/>
    </cacheField>
    <cacheField name="Line" numFmtId="0">
      <sharedItems containsSemiMixedTypes="0" containsString="0" containsNumber="1" containsInteger="1" minValue="0" maxValue="1"/>
    </cacheField>
    <cacheField name="Top2" numFmtId="0">
      <sharedItems containsSemiMixedTypes="0" containsString="0" containsNumber="1" containsInteger="1" minValue="0" maxValue="1"/>
    </cacheField>
    <cacheField name="Mid2" numFmtId="0">
      <sharedItems containsSemiMixedTypes="0" containsString="0" containsNumber="1" containsInteger="1" minValue="0" maxValue="1"/>
    </cacheField>
    <cacheField name="Low2" numFmtId="0">
      <sharedItems containsSemiMixedTypes="0" containsString="0" containsNumber="1" containsInteger="1" minValue="0" maxValue="1"/>
    </cacheField>
    <cacheField name="Skilled2" numFmtId="0">
      <sharedItems containsSemiMixedTypes="0" containsString="0" containsNumber="1" containsInteger="1" minValue="0" maxValue="0"/>
    </cacheField>
    <cacheField name="Line2" numFmtId="0">
      <sharedItems containsSemiMixedTypes="0" containsString="0" containsNumber="1" containsInteger="1" minValue="0" maxValue="1"/>
    </cacheField>
    <cacheField name="N/A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kR illeR" refreshedDate="46020.497764236112" createdVersion="8" refreshedVersion="8" minRefreshableVersion="3" recordCount="136" xr:uid="{510E7C1F-1487-4D92-921D-EB9DCD265D62}">
  <cacheSource type="worksheet">
    <worksheetSource ref="B2:N138" sheet="Sheet2"/>
  </cacheSource>
  <cacheFields count="13">
    <cacheField name="Designation 2017" numFmtId="0">
      <sharedItems containsBlank="1" count="6">
        <s v="Low"/>
        <s v="Line"/>
        <s v="Skilled"/>
        <s v="Mid"/>
        <s v="Top"/>
        <m/>
      </sharedItems>
    </cacheField>
    <cacheField name="Designation 2018" numFmtId="0">
      <sharedItems containsBlank="1" count="6">
        <s v="Low"/>
        <s v="Line"/>
        <s v="NA"/>
        <s v="Mid"/>
        <s v="Top"/>
        <m/>
      </sharedItems>
    </cacheField>
    <cacheField name="Top" numFmtId="0">
      <sharedItems containsString="0" containsBlank="1" containsNumber="1" containsInteger="1" minValue="0" maxValue="1"/>
    </cacheField>
    <cacheField name="Mid" numFmtId="0">
      <sharedItems containsString="0" containsBlank="1" containsNumber="1" containsInteger="1" minValue="0" maxValue="1"/>
    </cacheField>
    <cacheField name="Low" numFmtId="0">
      <sharedItems containsString="0" containsBlank="1" containsNumber="1" containsInteger="1" minValue="0" maxValue="1"/>
    </cacheField>
    <cacheField name="Skilled" numFmtId="0">
      <sharedItems containsString="0" containsBlank="1" containsNumber="1" containsInteger="1" minValue="0" maxValue="1"/>
    </cacheField>
    <cacheField name="Line" numFmtId="0">
      <sharedItems containsString="0" containsBlank="1" containsNumber="1" containsInteger="1" minValue="0" maxValue="1"/>
    </cacheField>
    <cacheField name="Top2" numFmtId="0">
      <sharedItems containsString="0" containsBlank="1" containsNumber="1" containsInteger="1" minValue="0" maxValue="1"/>
    </cacheField>
    <cacheField name="Mid2" numFmtId="0">
      <sharedItems containsString="0" containsBlank="1" containsNumber="1" containsInteger="1" minValue="0" maxValue="1"/>
    </cacheField>
    <cacheField name="Low2" numFmtId="0">
      <sharedItems containsString="0" containsBlank="1" containsNumber="1" containsInteger="1" minValue="0" maxValue="1"/>
    </cacheField>
    <cacheField name="Skilled2" numFmtId="0">
      <sharedItems containsString="0" containsBlank="1" containsNumber="1" containsInteger="1" minValue="0" maxValue="0"/>
    </cacheField>
    <cacheField name="Line2" numFmtId="0">
      <sharedItems containsString="0" containsBlank="1" containsNumber="1" containsInteger="1" minValue="0" maxValue="1"/>
    </cacheField>
    <cacheField name="N/A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x v="0"/>
    <x v="0"/>
    <n v="0"/>
    <n v="0"/>
    <n v="1"/>
    <n v="0"/>
    <n v="0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1"/>
    <x v="1"/>
    <n v="0"/>
    <n v="0"/>
    <n v="0"/>
    <n v="0"/>
    <n v="1"/>
    <n v="0"/>
    <n v="0"/>
    <n v="0"/>
    <n v="0"/>
    <n v="1"/>
    <n v="0"/>
  </r>
  <r>
    <x v="1"/>
    <x v="1"/>
    <n v="0"/>
    <n v="0"/>
    <n v="0"/>
    <n v="0"/>
    <n v="1"/>
    <n v="0"/>
    <n v="0"/>
    <n v="0"/>
    <n v="0"/>
    <n v="1"/>
    <n v="0"/>
  </r>
  <r>
    <x v="0"/>
    <x v="2"/>
    <n v="0"/>
    <n v="0"/>
    <n v="1"/>
    <n v="0"/>
    <n v="0"/>
    <n v="0"/>
    <n v="0"/>
    <n v="0"/>
    <n v="0"/>
    <n v="0"/>
    <n v="1"/>
  </r>
  <r>
    <x v="1"/>
    <x v="2"/>
    <n v="0"/>
    <n v="0"/>
    <n v="0"/>
    <n v="0"/>
    <n v="1"/>
    <n v="0"/>
    <n v="0"/>
    <n v="0"/>
    <n v="0"/>
    <n v="0"/>
    <n v="1"/>
  </r>
  <r>
    <x v="2"/>
    <x v="2"/>
    <n v="0"/>
    <n v="0"/>
    <n v="0"/>
    <n v="1"/>
    <n v="0"/>
    <n v="0"/>
    <n v="0"/>
    <n v="0"/>
    <n v="0"/>
    <n v="0"/>
    <n v="1"/>
  </r>
  <r>
    <x v="0"/>
    <x v="2"/>
    <n v="0"/>
    <n v="0"/>
    <n v="1"/>
    <n v="0"/>
    <n v="0"/>
    <n v="0"/>
    <n v="0"/>
    <n v="0"/>
    <n v="0"/>
    <n v="0"/>
    <n v="1"/>
  </r>
  <r>
    <x v="1"/>
    <x v="1"/>
    <n v="0"/>
    <n v="0"/>
    <n v="0"/>
    <n v="0"/>
    <n v="1"/>
    <n v="0"/>
    <n v="0"/>
    <n v="0"/>
    <n v="0"/>
    <n v="1"/>
    <n v="0"/>
  </r>
  <r>
    <x v="1"/>
    <x v="1"/>
    <n v="0"/>
    <n v="0"/>
    <n v="0"/>
    <n v="0"/>
    <n v="1"/>
    <n v="0"/>
    <n v="0"/>
    <n v="0"/>
    <n v="0"/>
    <n v="1"/>
    <n v="0"/>
  </r>
  <r>
    <x v="2"/>
    <x v="2"/>
    <n v="0"/>
    <n v="0"/>
    <n v="0"/>
    <n v="1"/>
    <n v="0"/>
    <n v="0"/>
    <n v="0"/>
    <n v="0"/>
    <n v="0"/>
    <n v="0"/>
    <n v="1"/>
  </r>
  <r>
    <x v="2"/>
    <x v="0"/>
    <n v="0"/>
    <n v="0"/>
    <n v="0"/>
    <n v="1"/>
    <n v="0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3"/>
    <x v="2"/>
    <n v="0"/>
    <n v="1"/>
    <n v="0"/>
    <n v="0"/>
    <n v="0"/>
    <n v="0"/>
    <n v="0"/>
    <n v="0"/>
    <n v="0"/>
    <n v="0"/>
    <n v="1"/>
  </r>
  <r>
    <x v="3"/>
    <x v="2"/>
    <n v="0"/>
    <n v="1"/>
    <n v="0"/>
    <n v="0"/>
    <n v="0"/>
    <n v="0"/>
    <n v="0"/>
    <n v="0"/>
    <n v="0"/>
    <n v="0"/>
    <n v="1"/>
  </r>
  <r>
    <x v="3"/>
    <x v="3"/>
    <n v="0"/>
    <n v="1"/>
    <n v="0"/>
    <n v="0"/>
    <n v="0"/>
    <n v="0"/>
    <n v="1"/>
    <n v="0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3"/>
    <x v="3"/>
    <n v="0"/>
    <n v="1"/>
    <n v="0"/>
    <n v="0"/>
    <n v="0"/>
    <n v="0"/>
    <n v="1"/>
    <n v="0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3"/>
    <x v="2"/>
    <n v="0"/>
    <n v="1"/>
    <n v="0"/>
    <n v="0"/>
    <n v="0"/>
    <n v="0"/>
    <n v="0"/>
    <n v="0"/>
    <n v="0"/>
    <n v="0"/>
    <n v="1"/>
  </r>
  <r>
    <x v="3"/>
    <x v="2"/>
    <n v="0"/>
    <n v="1"/>
    <n v="0"/>
    <n v="0"/>
    <n v="0"/>
    <n v="0"/>
    <n v="0"/>
    <n v="0"/>
    <n v="0"/>
    <n v="0"/>
    <n v="1"/>
  </r>
  <r>
    <x v="2"/>
    <x v="2"/>
    <n v="0"/>
    <n v="0"/>
    <n v="0"/>
    <n v="1"/>
    <n v="0"/>
    <n v="0"/>
    <n v="0"/>
    <n v="0"/>
    <n v="0"/>
    <n v="0"/>
    <n v="1"/>
  </r>
  <r>
    <x v="2"/>
    <x v="2"/>
    <n v="0"/>
    <n v="0"/>
    <n v="0"/>
    <n v="1"/>
    <n v="0"/>
    <n v="0"/>
    <n v="0"/>
    <n v="0"/>
    <n v="0"/>
    <n v="0"/>
    <n v="1"/>
  </r>
  <r>
    <x v="3"/>
    <x v="2"/>
    <n v="0"/>
    <n v="1"/>
    <n v="0"/>
    <n v="0"/>
    <n v="0"/>
    <n v="0"/>
    <n v="0"/>
    <n v="0"/>
    <n v="0"/>
    <n v="0"/>
    <n v="1"/>
  </r>
  <r>
    <x v="2"/>
    <x v="2"/>
    <n v="0"/>
    <n v="0"/>
    <n v="0"/>
    <n v="1"/>
    <n v="0"/>
    <n v="0"/>
    <n v="0"/>
    <n v="0"/>
    <n v="0"/>
    <n v="0"/>
    <n v="1"/>
  </r>
  <r>
    <x v="2"/>
    <x v="2"/>
    <n v="0"/>
    <n v="0"/>
    <n v="0"/>
    <n v="1"/>
    <n v="0"/>
    <n v="0"/>
    <n v="0"/>
    <n v="0"/>
    <n v="0"/>
    <n v="0"/>
    <n v="1"/>
  </r>
  <r>
    <x v="0"/>
    <x v="2"/>
    <n v="0"/>
    <n v="0"/>
    <n v="1"/>
    <n v="0"/>
    <n v="0"/>
    <n v="0"/>
    <n v="0"/>
    <n v="0"/>
    <n v="0"/>
    <n v="0"/>
    <n v="1"/>
  </r>
  <r>
    <x v="0"/>
    <x v="2"/>
    <n v="0"/>
    <n v="0"/>
    <n v="1"/>
    <n v="0"/>
    <n v="0"/>
    <n v="0"/>
    <n v="0"/>
    <n v="0"/>
    <n v="0"/>
    <n v="0"/>
    <n v="1"/>
  </r>
  <r>
    <x v="2"/>
    <x v="2"/>
    <n v="0"/>
    <n v="0"/>
    <n v="0"/>
    <n v="1"/>
    <n v="0"/>
    <n v="0"/>
    <n v="0"/>
    <n v="0"/>
    <n v="0"/>
    <n v="0"/>
    <n v="1"/>
  </r>
  <r>
    <x v="1"/>
    <x v="1"/>
    <n v="0"/>
    <n v="0"/>
    <n v="0"/>
    <n v="0"/>
    <n v="1"/>
    <n v="0"/>
    <n v="0"/>
    <n v="0"/>
    <n v="0"/>
    <n v="1"/>
    <n v="0"/>
  </r>
  <r>
    <x v="3"/>
    <x v="3"/>
    <n v="0"/>
    <n v="1"/>
    <n v="0"/>
    <n v="0"/>
    <n v="0"/>
    <n v="0"/>
    <n v="1"/>
    <n v="0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3"/>
    <x v="3"/>
    <n v="0"/>
    <n v="1"/>
    <n v="0"/>
    <n v="0"/>
    <n v="0"/>
    <n v="0"/>
    <n v="1"/>
    <n v="0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4"/>
    <x v="4"/>
    <n v="1"/>
    <n v="0"/>
    <n v="0"/>
    <n v="0"/>
    <n v="0"/>
    <n v="1"/>
    <n v="0"/>
    <n v="0"/>
    <n v="0"/>
    <n v="0"/>
    <n v="0"/>
  </r>
  <r>
    <x v="4"/>
    <x v="3"/>
    <n v="1"/>
    <n v="0"/>
    <n v="0"/>
    <n v="0"/>
    <n v="0"/>
    <n v="0"/>
    <n v="1"/>
    <n v="0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2"/>
    <x v="2"/>
    <n v="0"/>
    <n v="0"/>
    <n v="0"/>
    <n v="1"/>
    <n v="0"/>
    <n v="0"/>
    <n v="0"/>
    <n v="0"/>
    <n v="0"/>
    <n v="0"/>
    <n v="1"/>
  </r>
  <r>
    <x v="0"/>
    <x v="2"/>
    <n v="0"/>
    <n v="0"/>
    <n v="1"/>
    <n v="0"/>
    <n v="0"/>
    <n v="0"/>
    <n v="0"/>
    <n v="0"/>
    <n v="0"/>
    <n v="0"/>
    <n v="1"/>
  </r>
  <r>
    <x v="2"/>
    <x v="0"/>
    <n v="0"/>
    <n v="0"/>
    <n v="0"/>
    <n v="1"/>
    <n v="0"/>
    <n v="0"/>
    <n v="0"/>
    <n v="1"/>
    <n v="0"/>
    <n v="0"/>
    <n v="0"/>
  </r>
  <r>
    <x v="1"/>
    <x v="1"/>
    <n v="0"/>
    <n v="0"/>
    <n v="0"/>
    <n v="0"/>
    <n v="1"/>
    <n v="0"/>
    <n v="0"/>
    <n v="0"/>
    <n v="0"/>
    <n v="1"/>
    <n v="0"/>
  </r>
  <r>
    <x v="3"/>
    <x v="4"/>
    <n v="0"/>
    <n v="1"/>
    <n v="0"/>
    <n v="0"/>
    <n v="0"/>
    <n v="1"/>
    <n v="0"/>
    <n v="0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4"/>
    <x v="4"/>
    <n v="1"/>
    <n v="0"/>
    <n v="0"/>
    <n v="0"/>
    <n v="0"/>
    <n v="1"/>
    <n v="0"/>
    <n v="0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3"/>
    <x v="2"/>
    <n v="0"/>
    <n v="1"/>
    <n v="0"/>
    <n v="0"/>
    <n v="0"/>
    <n v="0"/>
    <n v="0"/>
    <n v="0"/>
    <n v="0"/>
    <n v="0"/>
    <n v="1"/>
  </r>
  <r>
    <x v="2"/>
    <x v="2"/>
    <n v="0"/>
    <n v="0"/>
    <n v="0"/>
    <n v="1"/>
    <n v="0"/>
    <n v="0"/>
    <n v="0"/>
    <n v="0"/>
    <n v="0"/>
    <n v="0"/>
    <n v="1"/>
  </r>
  <r>
    <x v="0"/>
    <x v="2"/>
    <n v="0"/>
    <n v="0"/>
    <n v="1"/>
    <n v="0"/>
    <n v="0"/>
    <n v="0"/>
    <n v="0"/>
    <n v="0"/>
    <n v="0"/>
    <n v="0"/>
    <n v="1"/>
  </r>
  <r>
    <x v="3"/>
    <x v="2"/>
    <n v="0"/>
    <n v="1"/>
    <n v="0"/>
    <n v="0"/>
    <n v="0"/>
    <n v="0"/>
    <n v="0"/>
    <n v="0"/>
    <n v="0"/>
    <n v="0"/>
    <n v="1"/>
  </r>
  <r>
    <x v="0"/>
    <x v="2"/>
    <n v="0"/>
    <n v="0"/>
    <n v="1"/>
    <n v="0"/>
    <n v="0"/>
    <n v="0"/>
    <n v="0"/>
    <n v="0"/>
    <n v="0"/>
    <n v="0"/>
    <n v="1"/>
  </r>
  <r>
    <x v="2"/>
    <x v="2"/>
    <n v="0"/>
    <n v="0"/>
    <n v="0"/>
    <n v="1"/>
    <n v="0"/>
    <n v="0"/>
    <n v="0"/>
    <n v="0"/>
    <n v="0"/>
    <n v="0"/>
    <n v="1"/>
  </r>
  <r>
    <x v="3"/>
    <x v="2"/>
    <n v="0"/>
    <n v="1"/>
    <n v="0"/>
    <n v="0"/>
    <n v="0"/>
    <n v="0"/>
    <n v="0"/>
    <n v="0"/>
    <n v="0"/>
    <n v="0"/>
    <n v="1"/>
  </r>
  <r>
    <x v="2"/>
    <x v="2"/>
    <n v="0"/>
    <n v="0"/>
    <n v="0"/>
    <n v="1"/>
    <n v="0"/>
    <n v="0"/>
    <n v="0"/>
    <n v="0"/>
    <n v="0"/>
    <n v="0"/>
    <n v="1"/>
  </r>
  <r>
    <x v="2"/>
    <x v="2"/>
    <n v="0"/>
    <n v="0"/>
    <n v="0"/>
    <n v="1"/>
    <n v="0"/>
    <n v="0"/>
    <n v="0"/>
    <n v="0"/>
    <n v="0"/>
    <n v="0"/>
    <n v="1"/>
  </r>
  <r>
    <x v="1"/>
    <x v="1"/>
    <n v="0"/>
    <n v="0"/>
    <n v="0"/>
    <n v="0"/>
    <n v="1"/>
    <n v="0"/>
    <n v="0"/>
    <n v="0"/>
    <n v="0"/>
    <n v="1"/>
    <n v="0"/>
  </r>
  <r>
    <x v="1"/>
    <x v="0"/>
    <n v="0"/>
    <n v="0"/>
    <n v="0"/>
    <n v="0"/>
    <n v="1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4"/>
    <x v="3"/>
    <n v="1"/>
    <n v="0"/>
    <n v="0"/>
    <n v="0"/>
    <n v="0"/>
    <n v="0"/>
    <n v="1"/>
    <n v="0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3"/>
    <x v="3"/>
    <n v="0"/>
    <n v="1"/>
    <n v="0"/>
    <n v="0"/>
    <n v="0"/>
    <n v="0"/>
    <n v="1"/>
    <n v="0"/>
    <n v="0"/>
    <n v="0"/>
    <n v="0"/>
  </r>
  <r>
    <x v="3"/>
    <x v="3"/>
    <n v="0"/>
    <n v="1"/>
    <n v="0"/>
    <n v="0"/>
    <n v="0"/>
    <n v="0"/>
    <n v="1"/>
    <n v="0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1"/>
    <x v="1"/>
    <n v="0"/>
    <n v="0"/>
    <n v="0"/>
    <n v="0"/>
    <n v="1"/>
    <n v="0"/>
    <n v="0"/>
    <n v="0"/>
    <n v="0"/>
    <n v="1"/>
    <n v="0"/>
  </r>
  <r>
    <x v="3"/>
    <x v="4"/>
    <n v="0"/>
    <n v="1"/>
    <n v="0"/>
    <n v="0"/>
    <n v="0"/>
    <n v="1"/>
    <n v="0"/>
    <n v="0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4"/>
    <x v="3"/>
    <n v="1"/>
    <n v="0"/>
    <n v="0"/>
    <n v="0"/>
    <n v="0"/>
    <n v="0"/>
    <n v="1"/>
    <n v="0"/>
    <n v="0"/>
    <n v="0"/>
    <n v="0"/>
  </r>
  <r>
    <x v="3"/>
    <x v="3"/>
    <n v="0"/>
    <n v="1"/>
    <n v="0"/>
    <n v="0"/>
    <n v="0"/>
    <n v="0"/>
    <n v="1"/>
    <n v="0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3"/>
    <x v="3"/>
    <n v="0"/>
    <n v="1"/>
    <n v="0"/>
    <n v="0"/>
    <n v="0"/>
    <n v="0"/>
    <n v="1"/>
    <n v="0"/>
    <n v="0"/>
    <n v="0"/>
    <n v="0"/>
  </r>
  <r>
    <x v="1"/>
    <x v="1"/>
    <n v="0"/>
    <n v="0"/>
    <n v="0"/>
    <n v="0"/>
    <n v="1"/>
    <n v="0"/>
    <n v="0"/>
    <n v="0"/>
    <n v="0"/>
    <n v="1"/>
    <n v="0"/>
  </r>
  <r>
    <x v="3"/>
    <x v="3"/>
    <n v="0"/>
    <n v="1"/>
    <n v="0"/>
    <n v="0"/>
    <n v="0"/>
    <n v="0"/>
    <n v="1"/>
    <n v="0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3"/>
    <x v="4"/>
    <n v="0"/>
    <n v="1"/>
    <n v="0"/>
    <n v="0"/>
    <n v="0"/>
    <n v="1"/>
    <n v="0"/>
    <n v="0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4"/>
    <x v="4"/>
    <n v="1"/>
    <n v="0"/>
    <n v="0"/>
    <n v="0"/>
    <n v="0"/>
    <n v="1"/>
    <n v="0"/>
    <n v="0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3"/>
    <x v="3"/>
    <n v="0"/>
    <n v="1"/>
    <n v="0"/>
    <n v="0"/>
    <n v="0"/>
    <n v="0"/>
    <n v="1"/>
    <n v="0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3"/>
    <x v="3"/>
    <n v="0"/>
    <n v="1"/>
    <n v="0"/>
    <n v="0"/>
    <n v="0"/>
    <n v="0"/>
    <n v="1"/>
    <n v="0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4"/>
    <x v="3"/>
    <n v="1"/>
    <n v="0"/>
    <n v="0"/>
    <n v="0"/>
    <n v="0"/>
    <n v="0"/>
    <n v="1"/>
    <n v="0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4"/>
    <x v="4"/>
    <n v="1"/>
    <n v="0"/>
    <n v="0"/>
    <n v="0"/>
    <n v="0"/>
    <n v="1"/>
    <n v="0"/>
    <n v="0"/>
    <n v="0"/>
    <n v="0"/>
    <n v="0"/>
  </r>
  <r>
    <x v="4"/>
    <x v="3"/>
    <n v="1"/>
    <n v="0"/>
    <n v="0"/>
    <n v="0"/>
    <n v="0"/>
    <n v="0"/>
    <n v="1"/>
    <n v="0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2"/>
    <x v="2"/>
    <n v="0"/>
    <n v="0"/>
    <n v="0"/>
    <n v="1"/>
    <n v="0"/>
    <n v="0"/>
    <n v="0"/>
    <n v="0"/>
    <n v="0"/>
    <n v="0"/>
    <n v="1"/>
  </r>
  <r>
    <x v="0"/>
    <x v="0"/>
    <n v="0"/>
    <n v="0"/>
    <n v="1"/>
    <n v="0"/>
    <n v="0"/>
    <n v="0"/>
    <n v="0"/>
    <n v="1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3"/>
    <x v="2"/>
    <n v="0"/>
    <n v="1"/>
    <n v="0"/>
    <n v="0"/>
    <n v="0"/>
    <n v="0"/>
    <n v="0"/>
    <n v="0"/>
    <n v="0"/>
    <n v="0"/>
    <n v="1"/>
  </r>
  <r>
    <x v="1"/>
    <x v="2"/>
    <n v="0"/>
    <n v="0"/>
    <n v="0"/>
    <n v="0"/>
    <n v="1"/>
    <n v="0"/>
    <n v="0"/>
    <n v="0"/>
    <n v="0"/>
    <n v="0"/>
    <n v="1"/>
  </r>
  <r>
    <x v="4"/>
    <x v="2"/>
    <n v="1"/>
    <n v="0"/>
    <n v="0"/>
    <n v="0"/>
    <n v="0"/>
    <n v="0"/>
    <n v="0"/>
    <n v="0"/>
    <n v="0"/>
    <n v="0"/>
    <n v="1"/>
  </r>
  <r>
    <x v="1"/>
    <x v="2"/>
    <n v="0"/>
    <n v="0"/>
    <n v="0"/>
    <n v="0"/>
    <n v="1"/>
    <n v="0"/>
    <n v="0"/>
    <n v="0"/>
    <n v="0"/>
    <n v="0"/>
    <n v="1"/>
  </r>
  <r>
    <x v="2"/>
    <x v="0"/>
    <n v="0"/>
    <n v="0"/>
    <n v="0"/>
    <n v="1"/>
    <n v="0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4"/>
    <x v="3"/>
    <n v="1"/>
    <n v="0"/>
    <n v="0"/>
    <n v="0"/>
    <n v="0"/>
    <n v="0"/>
    <n v="1"/>
    <n v="0"/>
    <n v="0"/>
    <n v="0"/>
    <n v="0"/>
  </r>
  <r>
    <x v="4"/>
    <x v="4"/>
    <n v="1"/>
    <n v="0"/>
    <n v="0"/>
    <n v="0"/>
    <n v="0"/>
    <n v="1"/>
    <n v="0"/>
    <n v="0"/>
    <n v="0"/>
    <n v="0"/>
    <n v="0"/>
  </r>
  <r>
    <x v="4"/>
    <x v="3"/>
    <n v="1"/>
    <n v="0"/>
    <n v="0"/>
    <n v="0"/>
    <n v="0"/>
    <n v="0"/>
    <n v="1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x v="0"/>
    <x v="0"/>
    <n v="0"/>
    <n v="0"/>
    <n v="1"/>
    <n v="0"/>
    <n v="0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1"/>
    <x v="1"/>
    <n v="0"/>
    <n v="0"/>
    <n v="0"/>
    <n v="0"/>
    <n v="1"/>
    <n v="0"/>
    <n v="0"/>
    <n v="0"/>
    <n v="0"/>
    <n v="1"/>
    <n v="0"/>
  </r>
  <r>
    <x v="1"/>
    <x v="1"/>
    <n v="0"/>
    <n v="0"/>
    <n v="0"/>
    <n v="0"/>
    <n v="1"/>
    <n v="0"/>
    <n v="0"/>
    <n v="0"/>
    <n v="0"/>
    <n v="1"/>
    <n v="0"/>
  </r>
  <r>
    <x v="0"/>
    <x v="2"/>
    <n v="0"/>
    <n v="0"/>
    <n v="1"/>
    <n v="0"/>
    <n v="0"/>
    <n v="0"/>
    <n v="0"/>
    <n v="0"/>
    <n v="0"/>
    <n v="0"/>
    <n v="1"/>
  </r>
  <r>
    <x v="1"/>
    <x v="2"/>
    <n v="0"/>
    <n v="0"/>
    <n v="0"/>
    <n v="0"/>
    <n v="1"/>
    <n v="0"/>
    <n v="0"/>
    <n v="0"/>
    <n v="0"/>
    <n v="0"/>
    <n v="1"/>
  </r>
  <r>
    <x v="2"/>
    <x v="2"/>
    <n v="0"/>
    <n v="0"/>
    <n v="0"/>
    <n v="1"/>
    <n v="0"/>
    <n v="0"/>
    <n v="0"/>
    <n v="0"/>
    <n v="0"/>
    <n v="0"/>
    <n v="1"/>
  </r>
  <r>
    <x v="0"/>
    <x v="2"/>
    <n v="0"/>
    <n v="0"/>
    <n v="1"/>
    <n v="0"/>
    <n v="0"/>
    <n v="0"/>
    <n v="0"/>
    <n v="0"/>
    <n v="0"/>
    <n v="0"/>
    <n v="1"/>
  </r>
  <r>
    <x v="1"/>
    <x v="1"/>
    <n v="0"/>
    <n v="0"/>
    <n v="0"/>
    <n v="0"/>
    <n v="1"/>
    <n v="0"/>
    <n v="0"/>
    <n v="0"/>
    <n v="0"/>
    <n v="1"/>
    <n v="0"/>
  </r>
  <r>
    <x v="1"/>
    <x v="1"/>
    <n v="0"/>
    <n v="0"/>
    <n v="0"/>
    <n v="0"/>
    <n v="1"/>
    <n v="0"/>
    <n v="0"/>
    <n v="0"/>
    <n v="0"/>
    <n v="1"/>
    <n v="0"/>
  </r>
  <r>
    <x v="2"/>
    <x v="2"/>
    <n v="0"/>
    <n v="0"/>
    <n v="0"/>
    <n v="1"/>
    <n v="0"/>
    <n v="0"/>
    <n v="0"/>
    <n v="0"/>
    <n v="0"/>
    <n v="0"/>
    <n v="1"/>
  </r>
  <r>
    <x v="2"/>
    <x v="0"/>
    <n v="0"/>
    <n v="0"/>
    <n v="0"/>
    <n v="1"/>
    <n v="0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3"/>
    <x v="2"/>
    <n v="0"/>
    <n v="1"/>
    <n v="0"/>
    <n v="0"/>
    <n v="0"/>
    <n v="0"/>
    <n v="0"/>
    <n v="0"/>
    <n v="0"/>
    <n v="0"/>
    <n v="1"/>
  </r>
  <r>
    <x v="3"/>
    <x v="2"/>
    <n v="0"/>
    <n v="1"/>
    <n v="0"/>
    <n v="0"/>
    <n v="0"/>
    <n v="0"/>
    <n v="0"/>
    <n v="0"/>
    <n v="0"/>
    <n v="0"/>
    <n v="1"/>
  </r>
  <r>
    <x v="3"/>
    <x v="3"/>
    <n v="0"/>
    <n v="1"/>
    <n v="0"/>
    <n v="0"/>
    <n v="0"/>
    <n v="0"/>
    <n v="1"/>
    <n v="0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3"/>
    <x v="3"/>
    <n v="0"/>
    <n v="1"/>
    <n v="0"/>
    <n v="0"/>
    <n v="0"/>
    <n v="0"/>
    <n v="1"/>
    <n v="0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3"/>
    <x v="2"/>
    <n v="0"/>
    <n v="1"/>
    <n v="0"/>
    <n v="0"/>
    <n v="0"/>
    <n v="0"/>
    <n v="0"/>
    <n v="0"/>
    <n v="0"/>
    <n v="0"/>
    <n v="1"/>
  </r>
  <r>
    <x v="3"/>
    <x v="2"/>
    <n v="0"/>
    <n v="1"/>
    <n v="0"/>
    <n v="0"/>
    <n v="0"/>
    <n v="0"/>
    <n v="0"/>
    <n v="0"/>
    <n v="0"/>
    <n v="0"/>
    <n v="1"/>
  </r>
  <r>
    <x v="2"/>
    <x v="2"/>
    <n v="0"/>
    <n v="0"/>
    <n v="0"/>
    <n v="1"/>
    <n v="0"/>
    <n v="0"/>
    <n v="0"/>
    <n v="0"/>
    <n v="0"/>
    <n v="0"/>
    <n v="1"/>
  </r>
  <r>
    <x v="2"/>
    <x v="2"/>
    <n v="0"/>
    <n v="0"/>
    <n v="0"/>
    <n v="1"/>
    <n v="0"/>
    <n v="0"/>
    <n v="0"/>
    <n v="0"/>
    <n v="0"/>
    <n v="0"/>
    <n v="1"/>
  </r>
  <r>
    <x v="3"/>
    <x v="2"/>
    <n v="0"/>
    <n v="1"/>
    <n v="0"/>
    <n v="0"/>
    <n v="0"/>
    <n v="0"/>
    <n v="0"/>
    <n v="0"/>
    <n v="0"/>
    <n v="0"/>
    <n v="1"/>
  </r>
  <r>
    <x v="2"/>
    <x v="2"/>
    <n v="0"/>
    <n v="0"/>
    <n v="0"/>
    <n v="1"/>
    <n v="0"/>
    <n v="0"/>
    <n v="0"/>
    <n v="0"/>
    <n v="0"/>
    <n v="0"/>
    <n v="1"/>
  </r>
  <r>
    <x v="2"/>
    <x v="2"/>
    <n v="0"/>
    <n v="0"/>
    <n v="0"/>
    <n v="1"/>
    <n v="0"/>
    <n v="0"/>
    <n v="0"/>
    <n v="0"/>
    <n v="0"/>
    <n v="0"/>
    <n v="1"/>
  </r>
  <r>
    <x v="0"/>
    <x v="2"/>
    <n v="0"/>
    <n v="0"/>
    <n v="1"/>
    <n v="0"/>
    <n v="0"/>
    <n v="0"/>
    <n v="0"/>
    <n v="0"/>
    <n v="0"/>
    <n v="0"/>
    <n v="1"/>
  </r>
  <r>
    <x v="0"/>
    <x v="2"/>
    <n v="0"/>
    <n v="0"/>
    <n v="1"/>
    <n v="0"/>
    <n v="0"/>
    <n v="0"/>
    <n v="0"/>
    <n v="0"/>
    <n v="0"/>
    <n v="0"/>
    <n v="1"/>
  </r>
  <r>
    <x v="2"/>
    <x v="2"/>
    <n v="0"/>
    <n v="0"/>
    <n v="0"/>
    <n v="1"/>
    <n v="0"/>
    <n v="0"/>
    <n v="0"/>
    <n v="0"/>
    <n v="0"/>
    <n v="0"/>
    <n v="1"/>
  </r>
  <r>
    <x v="1"/>
    <x v="1"/>
    <n v="0"/>
    <n v="0"/>
    <n v="0"/>
    <n v="0"/>
    <n v="1"/>
    <n v="0"/>
    <n v="0"/>
    <n v="0"/>
    <n v="0"/>
    <n v="1"/>
    <n v="0"/>
  </r>
  <r>
    <x v="3"/>
    <x v="3"/>
    <n v="0"/>
    <n v="1"/>
    <n v="0"/>
    <n v="0"/>
    <n v="0"/>
    <n v="0"/>
    <n v="1"/>
    <n v="0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3"/>
    <x v="3"/>
    <n v="0"/>
    <n v="1"/>
    <n v="0"/>
    <n v="0"/>
    <n v="0"/>
    <n v="0"/>
    <n v="1"/>
    <n v="0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4"/>
    <x v="4"/>
    <n v="1"/>
    <n v="0"/>
    <n v="0"/>
    <n v="0"/>
    <n v="0"/>
    <n v="1"/>
    <n v="0"/>
    <n v="0"/>
    <n v="0"/>
    <n v="0"/>
    <n v="0"/>
  </r>
  <r>
    <x v="4"/>
    <x v="3"/>
    <n v="1"/>
    <n v="0"/>
    <n v="0"/>
    <n v="0"/>
    <n v="0"/>
    <n v="0"/>
    <n v="1"/>
    <n v="0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2"/>
    <x v="2"/>
    <n v="0"/>
    <n v="0"/>
    <n v="0"/>
    <n v="1"/>
    <n v="0"/>
    <n v="0"/>
    <n v="0"/>
    <n v="0"/>
    <n v="0"/>
    <n v="0"/>
    <n v="1"/>
  </r>
  <r>
    <x v="0"/>
    <x v="2"/>
    <n v="0"/>
    <n v="0"/>
    <n v="1"/>
    <n v="0"/>
    <n v="0"/>
    <n v="0"/>
    <n v="0"/>
    <n v="0"/>
    <n v="0"/>
    <n v="0"/>
    <n v="1"/>
  </r>
  <r>
    <x v="2"/>
    <x v="0"/>
    <n v="0"/>
    <n v="0"/>
    <n v="0"/>
    <n v="1"/>
    <n v="0"/>
    <n v="0"/>
    <n v="0"/>
    <n v="1"/>
    <n v="0"/>
    <n v="0"/>
    <n v="0"/>
  </r>
  <r>
    <x v="1"/>
    <x v="1"/>
    <n v="0"/>
    <n v="0"/>
    <n v="0"/>
    <n v="0"/>
    <n v="1"/>
    <n v="0"/>
    <n v="0"/>
    <n v="0"/>
    <n v="0"/>
    <n v="1"/>
    <n v="0"/>
  </r>
  <r>
    <x v="3"/>
    <x v="4"/>
    <n v="0"/>
    <n v="1"/>
    <n v="0"/>
    <n v="0"/>
    <n v="0"/>
    <n v="1"/>
    <n v="0"/>
    <n v="0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4"/>
    <x v="4"/>
    <n v="1"/>
    <n v="0"/>
    <n v="0"/>
    <n v="0"/>
    <n v="0"/>
    <n v="1"/>
    <n v="0"/>
    <n v="0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3"/>
    <x v="2"/>
    <n v="0"/>
    <n v="1"/>
    <n v="0"/>
    <n v="0"/>
    <n v="0"/>
    <n v="0"/>
    <n v="0"/>
    <n v="0"/>
    <n v="0"/>
    <n v="0"/>
    <n v="1"/>
  </r>
  <r>
    <x v="2"/>
    <x v="2"/>
    <n v="0"/>
    <n v="0"/>
    <n v="0"/>
    <n v="1"/>
    <n v="0"/>
    <n v="0"/>
    <n v="0"/>
    <n v="0"/>
    <n v="0"/>
    <n v="0"/>
    <n v="1"/>
  </r>
  <r>
    <x v="0"/>
    <x v="2"/>
    <n v="0"/>
    <n v="0"/>
    <n v="1"/>
    <n v="0"/>
    <n v="0"/>
    <n v="0"/>
    <n v="0"/>
    <n v="0"/>
    <n v="0"/>
    <n v="0"/>
    <n v="1"/>
  </r>
  <r>
    <x v="3"/>
    <x v="2"/>
    <n v="0"/>
    <n v="1"/>
    <n v="0"/>
    <n v="0"/>
    <n v="0"/>
    <n v="0"/>
    <n v="0"/>
    <n v="0"/>
    <n v="0"/>
    <n v="0"/>
    <n v="1"/>
  </r>
  <r>
    <x v="0"/>
    <x v="2"/>
    <n v="0"/>
    <n v="0"/>
    <n v="1"/>
    <n v="0"/>
    <n v="0"/>
    <n v="0"/>
    <n v="0"/>
    <n v="0"/>
    <n v="0"/>
    <n v="0"/>
    <n v="1"/>
  </r>
  <r>
    <x v="2"/>
    <x v="2"/>
    <n v="0"/>
    <n v="0"/>
    <n v="0"/>
    <n v="1"/>
    <n v="0"/>
    <n v="0"/>
    <n v="0"/>
    <n v="0"/>
    <n v="0"/>
    <n v="0"/>
    <n v="1"/>
  </r>
  <r>
    <x v="3"/>
    <x v="2"/>
    <n v="0"/>
    <n v="1"/>
    <n v="0"/>
    <n v="0"/>
    <n v="0"/>
    <n v="0"/>
    <n v="0"/>
    <n v="0"/>
    <n v="0"/>
    <n v="0"/>
    <n v="1"/>
  </r>
  <r>
    <x v="2"/>
    <x v="2"/>
    <n v="0"/>
    <n v="0"/>
    <n v="0"/>
    <n v="1"/>
    <n v="0"/>
    <n v="0"/>
    <n v="0"/>
    <n v="0"/>
    <n v="0"/>
    <n v="0"/>
    <n v="1"/>
  </r>
  <r>
    <x v="2"/>
    <x v="2"/>
    <n v="0"/>
    <n v="0"/>
    <n v="0"/>
    <n v="1"/>
    <n v="0"/>
    <n v="0"/>
    <n v="0"/>
    <n v="0"/>
    <n v="0"/>
    <n v="0"/>
    <n v="1"/>
  </r>
  <r>
    <x v="1"/>
    <x v="1"/>
    <n v="0"/>
    <n v="0"/>
    <n v="0"/>
    <n v="0"/>
    <n v="1"/>
    <n v="0"/>
    <n v="0"/>
    <n v="0"/>
    <n v="0"/>
    <n v="1"/>
    <n v="0"/>
  </r>
  <r>
    <x v="1"/>
    <x v="0"/>
    <n v="0"/>
    <n v="0"/>
    <n v="0"/>
    <n v="0"/>
    <n v="1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4"/>
    <x v="3"/>
    <n v="1"/>
    <n v="0"/>
    <n v="0"/>
    <n v="0"/>
    <n v="0"/>
    <n v="0"/>
    <n v="1"/>
    <n v="0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3"/>
    <x v="3"/>
    <n v="0"/>
    <n v="1"/>
    <n v="0"/>
    <n v="0"/>
    <n v="0"/>
    <n v="0"/>
    <n v="1"/>
    <n v="0"/>
    <n v="0"/>
    <n v="0"/>
    <n v="0"/>
  </r>
  <r>
    <x v="3"/>
    <x v="3"/>
    <n v="0"/>
    <n v="1"/>
    <n v="0"/>
    <n v="0"/>
    <n v="0"/>
    <n v="0"/>
    <n v="1"/>
    <n v="0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1"/>
    <x v="1"/>
    <n v="0"/>
    <n v="0"/>
    <n v="0"/>
    <n v="0"/>
    <n v="1"/>
    <n v="0"/>
    <n v="0"/>
    <n v="0"/>
    <n v="0"/>
    <n v="1"/>
    <n v="0"/>
  </r>
  <r>
    <x v="3"/>
    <x v="4"/>
    <n v="0"/>
    <n v="1"/>
    <n v="0"/>
    <n v="0"/>
    <n v="0"/>
    <n v="1"/>
    <n v="0"/>
    <n v="0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4"/>
    <x v="3"/>
    <n v="1"/>
    <n v="0"/>
    <n v="0"/>
    <n v="0"/>
    <n v="0"/>
    <n v="0"/>
    <n v="1"/>
    <n v="0"/>
    <n v="0"/>
    <n v="0"/>
    <n v="0"/>
  </r>
  <r>
    <x v="3"/>
    <x v="3"/>
    <n v="0"/>
    <n v="1"/>
    <n v="0"/>
    <n v="0"/>
    <n v="0"/>
    <n v="0"/>
    <n v="1"/>
    <n v="0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3"/>
    <x v="3"/>
    <n v="0"/>
    <n v="1"/>
    <n v="0"/>
    <n v="0"/>
    <n v="0"/>
    <n v="0"/>
    <n v="1"/>
    <n v="0"/>
    <n v="0"/>
    <n v="0"/>
    <n v="0"/>
  </r>
  <r>
    <x v="1"/>
    <x v="1"/>
    <n v="0"/>
    <n v="0"/>
    <n v="0"/>
    <n v="0"/>
    <n v="1"/>
    <n v="0"/>
    <n v="0"/>
    <n v="0"/>
    <n v="0"/>
    <n v="1"/>
    <n v="0"/>
  </r>
  <r>
    <x v="3"/>
    <x v="3"/>
    <n v="0"/>
    <n v="1"/>
    <n v="0"/>
    <n v="0"/>
    <n v="0"/>
    <n v="0"/>
    <n v="1"/>
    <n v="0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3"/>
    <x v="4"/>
    <n v="0"/>
    <n v="1"/>
    <n v="0"/>
    <n v="0"/>
    <n v="0"/>
    <n v="1"/>
    <n v="0"/>
    <n v="0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4"/>
    <x v="4"/>
    <n v="1"/>
    <n v="0"/>
    <n v="0"/>
    <n v="0"/>
    <n v="0"/>
    <n v="1"/>
    <n v="0"/>
    <n v="0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3"/>
    <x v="3"/>
    <n v="0"/>
    <n v="1"/>
    <n v="0"/>
    <n v="0"/>
    <n v="0"/>
    <n v="0"/>
    <n v="1"/>
    <n v="0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3"/>
    <x v="3"/>
    <n v="0"/>
    <n v="1"/>
    <n v="0"/>
    <n v="0"/>
    <n v="0"/>
    <n v="0"/>
    <n v="1"/>
    <n v="0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4"/>
    <x v="3"/>
    <n v="1"/>
    <n v="0"/>
    <n v="0"/>
    <n v="0"/>
    <n v="0"/>
    <n v="0"/>
    <n v="1"/>
    <n v="0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2"/>
    <x v="0"/>
    <n v="0"/>
    <n v="0"/>
    <n v="0"/>
    <n v="1"/>
    <n v="0"/>
    <n v="0"/>
    <n v="0"/>
    <n v="1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4"/>
    <x v="4"/>
    <n v="1"/>
    <n v="0"/>
    <n v="0"/>
    <n v="0"/>
    <n v="0"/>
    <n v="1"/>
    <n v="0"/>
    <n v="0"/>
    <n v="0"/>
    <n v="0"/>
    <n v="0"/>
  </r>
  <r>
    <x v="4"/>
    <x v="3"/>
    <n v="1"/>
    <n v="0"/>
    <n v="0"/>
    <n v="0"/>
    <n v="0"/>
    <n v="0"/>
    <n v="1"/>
    <n v="0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2"/>
    <x v="2"/>
    <n v="0"/>
    <n v="0"/>
    <n v="0"/>
    <n v="1"/>
    <n v="0"/>
    <n v="0"/>
    <n v="0"/>
    <n v="0"/>
    <n v="0"/>
    <n v="0"/>
    <n v="1"/>
  </r>
  <r>
    <x v="0"/>
    <x v="0"/>
    <n v="0"/>
    <n v="0"/>
    <n v="1"/>
    <n v="0"/>
    <n v="0"/>
    <n v="0"/>
    <n v="0"/>
    <n v="1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1"/>
    <x v="0"/>
    <n v="0"/>
    <n v="0"/>
    <n v="0"/>
    <n v="0"/>
    <n v="1"/>
    <n v="0"/>
    <n v="0"/>
    <n v="1"/>
    <n v="0"/>
    <n v="0"/>
    <n v="0"/>
  </r>
  <r>
    <x v="3"/>
    <x v="2"/>
    <n v="0"/>
    <n v="1"/>
    <n v="0"/>
    <n v="0"/>
    <n v="0"/>
    <n v="0"/>
    <n v="0"/>
    <n v="0"/>
    <n v="0"/>
    <n v="0"/>
    <n v="1"/>
  </r>
  <r>
    <x v="1"/>
    <x v="2"/>
    <n v="0"/>
    <n v="0"/>
    <n v="0"/>
    <n v="0"/>
    <n v="1"/>
    <n v="0"/>
    <n v="0"/>
    <n v="0"/>
    <n v="0"/>
    <n v="0"/>
    <n v="1"/>
  </r>
  <r>
    <x v="4"/>
    <x v="2"/>
    <n v="1"/>
    <n v="0"/>
    <n v="0"/>
    <n v="0"/>
    <n v="0"/>
    <n v="0"/>
    <n v="0"/>
    <n v="0"/>
    <n v="0"/>
    <n v="0"/>
    <n v="1"/>
  </r>
  <r>
    <x v="1"/>
    <x v="2"/>
    <n v="0"/>
    <n v="0"/>
    <n v="0"/>
    <n v="0"/>
    <n v="1"/>
    <n v="0"/>
    <n v="0"/>
    <n v="0"/>
    <n v="0"/>
    <n v="0"/>
    <n v="1"/>
  </r>
  <r>
    <x v="2"/>
    <x v="0"/>
    <n v="0"/>
    <n v="0"/>
    <n v="0"/>
    <n v="1"/>
    <n v="0"/>
    <n v="0"/>
    <n v="0"/>
    <n v="1"/>
    <n v="0"/>
    <n v="0"/>
    <n v="0"/>
  </r>
  <r>
    <x v="0"/>
    <x v="0"/>
    <n v="0"/>
    <n v="0"/>
    <n v="1"/>
    <n v="0"/>
    <n v="0"/>
    <n v="0"/>
    <n v="0"/>
    <n v="1"/>
    <n v="0"/>
    <n v="0"/>
    <n v="0"/>
  </r>
  <r>
    <x v="4"/>
    <x v="3"/>
    <n v="1"/>
    <n v="0"/>
    <n v="0"/>
    <n v="0"/>
    <n v="0"/>
    <n v="0"/>
    <n v="1"/>
    <n v="0"/>
    <n v="0"/>
    <n v="0"/>
    <n v="0"/>
  </r>
  <r>
    <x v="4"/>
    <x v="4"/>
    <n v="1"/>
    <n v="0"/>
    <n v="0"/>
    <n v="0"/>
    <n v="0"/>
    <n v="1"/>
    <n v="0"/>
    <n v="0"/>
    <n v="0"/>
    <n v="0"/>
    <n v="0"/>
  </r>
  <r>
    <x v="4"/>
    <x v="3"/>
    <n v="1"/>
    <n v="0"/>
    <n v="0"/>
    <n v="0"/>
    <n v="0"/>
    <n v="0"/>
    <n v="1"/>
    <n v="0"/>
    <n v="0"/>
    <n v="0"/>
    <n v="0"/>
  </r>
  <r>
    <x v="5"/>
    <x v="5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E3907-E44E-40DD-9A66-1277B0AACA6C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4:W22" firstHeaderRow="1" firstDataRow="2" firstDataCol="1"/>
  <pivotFields count="13">
    <pivotField axis="axisRow" dataField="1" showAll="0">
      <items count="7">
        <item x="1"/>
        <item x="0"/>
        <item x="3"/>
        <item x="2"/>
        <item x="4"/>
        <item x="5"/>
        <item t="default"/>
      </items>
    </pivotField>
    <pivotField axis="axisCol" showAll="0">
      <items count="7">
        <item x="1"/>
        <item x="0"/>
        <item x="3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Designation 2017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258F1-853C-44E0-A5EC-275B6F74B877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V10" firstHeaderRow="1" firstDataRow="2" firstDataCol="1"/>
  <pivotFields count="13">
    <pivotField axis="axisRow" dataField="1" showAll="0">
      <items count="6">
        <item x="1"/>
        <item x="0"/>
        <item x="3"/>
        <item x="2"/>
        <item x="4"/>
        <item t="default"/>
      </items>
    </pivotField>
    <pivotField axis="axisCol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Designation 2017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5CCD4-9042-4F43-9605-0D844686F1AA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H20" firstHeaderRow="1" firstDataRow="2" firstDataCol="1"/>
  <pivotFields count="13">
    <pivotField axis="axisRow" dataField="1" showAll="0">
      <items count="7">
        <item x="1"/>
        <item x="0"/>
        <item x="3"/>
        <item x="2"/>
        <item x="4"/>
        <item x="5"/>
        <item t="default"/>
      </items>
    </pivotField>
    <pivotField axis="axisCol" showAll="0">
      <items count="7">
        <item x="1"/>
        <item x="0"/>
        <item x="3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Designation 2017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1D48-D4D9-4AD2-8D02-8FD476BC414E}">
  <dimension ref="A1:R17"/>
  <sheetViews>
    <sheetView workbookViewId="0">
      <selection activeCell="R22" sqref="R22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8" x14ac:dyDescent="0.3">
      <c r="A2" t="s">
        <v>8</v>
      </c>
      <c r="B2">
        <v>100</v>
      </c>
      <c r="C2" s="1">
        <v>0.8</v>
      </c>
      <c r="D2" s="1">
        <v>0.02</v>
      </c>
      <c r="E2" s="2">
        <v>0</v>
      </c>
      <c r="F2" s="2">
        <v>0</v>
      </c>
      <c r="G2" s="2">
        <v>0</v>
      </c>
      <c r="H2">
        <v>0.18</v>
      </c>
      <c r="J2" t="s">
        <v>11</v>
      </c>
    </row>
    <row r="3" spans="1:18" x14ac:dyDescent="0.3">
      <c r="A3" t="s">
        <v>3</v>
      </c>
      <c r="B3">
        <v>200</v>
      </c>
      <c r="C3" s="1">
        <v>0.1</v>
      </c>
      <c r="D3" s="1">
        <v>0.76</v>
      </c>
      <c r="E3" s="1">
        <v>0.04</v>
      </c>
      <c r="F3" s="2">
        <v>0</v>
      </c>
      <c r="G3" s="2">
        <v>0</v>
      </c>
      <c r="H3">
        <v>0.1</v>
      </c>
    </row>
    <row r="4" spans="1:18" x14ac:dyDescent="0.3">
      <c r="A4" t="s">
        <v>4</v>
      </c>
      <c r="B4">
        <v>600</v>
      </c>
      <c r="C4" s="1">
        <v>0</v>
      </c>
      <c r="D4" s="1">
        <v>0.06</v>
      </c>
      <c r="E4" s="1">
        <v>0.78</v>
      </c>
      <c r="F4" s="1">
        <v>0.01</v>
      </c>
      <c r="G4" s="2">
        <v>0</v>
      </c>
      <c r="H4">
        <v>0.15</v>
      </c>
      <c r="J4" t="s">
        <v>12</v>
      </c>
    </row>
    <row r="5" spans="1:18" x14ac:dyDescent="0.3">
      <c r="A5" t="s">
        <v>5</v>
      </c>
      <c r="B5">
        <v>600</v>
      </c>
      <c r="C5" s="2">
        <v>0</v>
      </c>
      <c r="D5" s="2">
        <v>0</v>
      </c>
      <c r="E5" s="1">
        <v>0.01</v>
      </c>
      <c r="F5" s="1">
        <v>0.84</v>
      </c>
      <c r="G5" s="2">
        <v>0</v>
      </c>
      <c r="H5">
        <v>0.15</v>
      </c>
    </row>
    <row r="6" spans="1:18" x14ac:dyDescent="0.3">
      <c r="A6" t="s">
        <v>6</v>
      </c>
      <c r="B6">
        <v>2000</v>
      </c>
      <c r="C6" s="2">
        <v>0</v>
      </c>
      <c r="D6" s="2">
        <v>0</v>
      </c>
      <c r="E6" s="1">
        <v>0.05</v>
      </c>
      <c r="F6" s="1">
        <v>0.88</v>
      </c>
      <c r="G6" s="2">
        <v>0</v>
      </c>
      <c r="H6">
        <v>7.0000000000000007E-2</v>
      </c>
    </row>
    <row r="9" spans="1:18" x14ac:dyDescent="0.3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L9" t="s">
        <v>0</v>
      </c>
      <c r="M9" t="s">
        <v>2</v>
      </c>
      <c r="N9" t="s">
        <v>3</v>
      </c>
      <c r="O9" t="s">
        <v>4</v>
      </c>
      <c r="P9" t="s">
        <v>5</v>
      </c>
      <c r="Q9" t="s">
        <v>6</v>
      </c>
      <c r="R9" t="s">
        <v>7</v>
      </c>
    </row>
    <row r="10" spans="1:18" x14ac:dyDescent="0.3">
      <c r="A10" t="s">
        <v>8</v>
      </c>
      <c r="C10">
        <f>$B2*C2</f>
        <v>80</v>
      </c>
      <c r="D10">
        <f>$B2*D2</f>
        <v>2</v>
      </c>
      <c r="E10">
        <f t="shared" ref="E10:H10" si="0">$B2*E2</f>
        <v>0</v>
      </c>
      <c r="F10">
        <f t="shared" si="0"/>
        <v>0</v>
      </c>
      <c r="G10">
        <f t="shared" si="0"/>
        <v>0</v>
      </c>
      <c r="H10">
        <f t="shared" si="0"/>
        <v>18</v>
      </c>
      <c r="L10" t="s">
        <v>8</v>
      </c>
      <c r="M10">
        <f>$B2*C2</f>
        <v>80</v>
      </c>
      <c r="N10">
        <f t="shared" ref="N10:R14" si="1">$B2*D2</f>
        <v>2</v>
      </c>
      <c r="O10">
        <f t="shared" si="1"/>
        <v>0</v>
      </c>
      <c r="P10">
        <f t="shared" si="1"/>
        <v>0</v>
      </c>
      <c r="Q10">
        <f t="shared" si="1"/>
        <v>0</v>
      </c>
      <c r="R10">
        <f t="shared" si="1"/>
        <v>18</v>
      </c>
    </row>
    <row r="11" spans="1:18" x14ac:dyDescent="0.3">
      <c r="A11" t="s">
        <v>3</v>
      </c>
      <c r="C11">
        <f t="shared" ref="C11:H14" si="2">$B3*C3</f>
        <v>20</v>
      </c>
      <c r="D11">
        <f t="shared" si="2"/>
        <v>152</v>
      </c>
      <c r="E11">
        <f t="shared" si="2"/>
        <v>8</v>
      </c>
      <c r="F11">
        <f t="shared" si="2"/>
        <v>0</v>
      </c>
      <c r="G11">
        <f t="shared" si="2"/>
        <v>0</v>
      </c>
      <c r="H11">
        <f t="shared" si="2"/>
        <v>20</v>
      </c>
      <c r="L11" t="s">
        <v>3</v>
      </c>
      <c r="M11">
        <f t="shared" ref="M11:M14" si="3">$B3*C3</f>
        <v>20</v>
      </c>
      <c r="N11">
        <f t="shared" si="1"/>
        <v>152</v>
      </c>
      <c r="O11">
        <f t="shared" si="1"/>
        <v>8</v>
      </c>
      <c r="P11">
        <f t="shared" si="1"/>
        <v>0</v>
      </c>
      <c r="Q11">
        <f t="shared" si="1"/>
        <v>0</v>
      </c>
      <c r="R11">
        <f t="shared" si="1"/>
        <v>20</v>
      </c>
    </row>
    <row r="12" spans="1:18" x14ac:dyDescent="0.3">
      <c r="A12" t="s">
        <v>4</v>
      </c>
      <c r="C12">
        <f t="shared" si="2"/>
        <v>0</v>
      </c>
      <c r="D12">
        <f t="shared" si="2"/>
        <v>36</v>
      </c>
      <c r="E12">
        <f t="shared" si="2"/>
        <v>468</v>
      </c>
      <c r="F12">
        <f t="shared" si="2"/>
        <v>6</v>
      </c>
      <c r="G12">
        <f t="shared" si="2"/>
        <v>0</v>
      </c>
      <c r="H12">
        <f t="shared" si="2"/>
        <v>90</v>
      </c>
      <c r="L12" t="s">
        <v>4</v>
      </c>
      <c r="M12">
        <f t="shared" si="3"/>
        <v>0</v>
      </c>
      <c r="N12">
        <f t="shared" si="1"/>
        <v>36</v>
      </c>
      <c r="O12">
        <f t="shared" si="1"/>
        <v>468</v>
      </c>
      <c r="P12">
        <f t="shared" si="1"/>
        <v>6</v>
      </c>
      <c r="Q12">
        <f t="shared" si="1"/>
        <v>0</v>
      </c>
      <c r="R12">
        <f t="shared" si="1"/>
        <v>90</v>
      </c>
    </row>
    <row r="13" spans="1:18" x14ac:dyDescent="0.3">
      <c r="A13" t="s">
        <v>5</v>
      </c>
      <c r="C13">
        <f t="shared" si="2"/>
        <v>0</v>
      </c>
      <c r="D13">
        <f t="shared" si="2"/>
        <v>0</v>
      </c>
      <c r="E13">
        <f t="shared" si="2"/>
        <v>6</v>
      </c>
      <c r="F13">
        <f t="shared" si="2"/>
        <v>504</v>
      </c>
      <c r="G13">
        <f t="shared" si="2"/>
        <v>0</v>
      </c>
      <c r="H13">
        <f t="shared" si="2"/>
        <v>90</v>
      </c>
      <c r="L13" t="s">
        <v>5</v>
      </c>
      <c r="M13">
        <f t="shared" si="3"/>
        <v>0</v>
      </c>
      <c r="N13">
        <f t="shared" si="1"/>
        <v>0</v>
      </c>
      <c r="O13">
        <f t="shared" si="1"/>
        <v>6</v>
      </c>
      <c r="P13">
        <f t="shared" si="1"/>
        <v>504</v>
      </c>
      <c r="Q13">
        <f t="shared" si="1"/>
        <v>0</v>
      </c>
      <c r="R13">
        <f t="shared" si="1"/>
        <v>90</v>
      </c>
    </row>
    <row r="14" spans="1:18" x14ac:dyDescent="0.3">
      <c r="A14" t="s">
        <v>6</v>
      </c>
      <c r="C14">
        <f t="shared" si="2"/>
        <v>0</v>
      </c>
      <c r="D14">
        <f t="shared" si="2"/>
        <v>0</v>
      </c>
      <c r="E14">
        <f t="shared" si="2"/>
        <v>100</v>
      </c>
      <c r="F14">
        <f t="shared" si="2"/>
        <v>1760</v>
      </c>
      <c r="G14">
        <f t="shared" si="2"/>
        <v>0</v>
      </c>
      <c r="H14">
        <f t="shared" si="2"/>
        <v>140</v>
      </c>
      <c r="L14" t="s">
        <v>6</v>
      </c>
      <c r="M14">
        <f t="shared" si="3"/>
        <v>0</v>
      </c>
      <c r="N14">
        <f t="shared" si="1"/>
        <v>0</v>
      </c>
      <c r="O14">
        <f t="shared" si="1"/>
        <v>100</v>
      </c>
      <c r="P14">
        <f t="shared" si="1"/>
        <v>1760</v>
      </c>
      <c r="Q14">
        <f t="shared" si="1"/>
        <v>0</v>
      </c>
      <c r="R14">
        <f t="shared" si="1"/>
        <v>140</v>
      </c>
    </row>
    <row r="15" spans="1:18" x14ac:dyDescent="0.3">
      <c r="A15" t="s">
        <v>9</v>
      </c>
      <c r="C15">
        <f>SUM(C10:C14)</f>
        <v>100</v>
      </c>
      <c r="D15">
        <f t="shared" ref="D15:H15" si="4">SUM(D10:D14)</f>
        <v>190</v>
      </c>
      <c r="E15">
        <f t="shared" si="4"/>
        <v>582</v>
      </c>
      <c r="F15">
        <f t="shared" si="4"/>
        <v>2270</v>
      </c>
      <c r="G15">
        <f t="shared" si="4"/>
        <v>0</v>
      </c>
      <c r="H15">
        <f t="shared" si="4"/>
        <v>358</v>
      </c>
      <c r="L15" t="s">
        <v>26</v>
      </c>
      <c r="M15">
        <f>SUM(M10:M14)</f>
        <v>100</v>
      </c>
      <c r="N15">
        <f t="shared" ref="N15:Q15" si="5">SUM(N10:N14)</f>
        <v>190</v>
      </c>
      <c r="O15">
        <f t="shared" si="5"/>
        <v>582</v>
      </c>
      <c r="P15">
        <f t="shared" si="5"/>
        <v>2270</v>
      </c>
      <c r="Q15">
        <f t="shared" si="5"/>
        <v>0</v>
      </c>
    </row>
    <row r="16" spans="1:18" x14ac:dyDescent="0.3">
      <c r="C16">
        <v>100</v>
      </c>
      <c r="D16">
        <v>200</v>
      </c>
      <c r="E16">
        <v>600</v>
      </c>
      <c r="F16">
        <v>600</v>
      </c>
      <c r="G16">
        <v>1700</v>
      </c>
      <c r="L16" t="s">
        <v>27</v>
      </c>
      <c r="M16">
        <v>100</v>
      </c>
      <c r="N16">
        <v>200</v>
      </c>
      <c r="O16">
        <v>600</v>
      </c>
      <c r="P16">
        <v>600</v>
      </c>
      <c r="Q16">
        <v>1700</v>
      </c>
    </row>
    <row r="17" spans="1:17" x14ac:dyDescent="0.3">
      <c r="A17" t="s">
        <v>10</v>
      </c>
      <c r="C17">
        <f>C15-C16</f>
        <v>0</v>
      </c>
      <c r="D17">
        <f t="shared" ref="D17:G17" si="6">D15-D16</f>
        <v>-10</v>
      </c>
      <c r="E17">
        <f t="shared" si="6"/>
        <v>-18</v>
      </c>
      <c r="F17">
        <f t="shared" si="6"/>
        <v>1670</v>
      </c>
      <c r="G17">
        <f t="shared" si="6"/>
        <v>-1700</v>
      </c>
      <c r="L17" s="24" t="s">
        <v>28</v>
      </c>
      <c r="M17" s="24">
        <f>M15-M16</f>
        <v>0</v>
      </c>
      <c r="N17" s="24">
        <f t="shared" ref="N17:Q17" si="7">N15-N16</f>
        <v>-10</v>
      </c>
      <c r="O17" s="24">
        <f t="shared" si="7"/>
        <v>-18</v>
      </c>
      <c r="P17" s="24">
        <f t="shared" si="7"/>
        <v>1670</v>
      </c>
      <c r="Q17" s="24">
        <f t="shared" si="7"/>
        <v>-1700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489E0-8768-4B62-95CE-4F42B04207AB}">
  <dimension ref="A1:W137"/>
  <sheetViews>
    <sheetView topLeftCell="A10" zoomScale="82" workbookViewId="0">
      <selection activeCell="P14" sqref="P14:W22"/>
      <pivotSelection pane="bottomRight" activeRow="13" activeCol="15" previousRow="13" previousCol="15" click="1" r:id="rId1">
        <pivotArea type="all" dataOnly="0" outline="0" fieldPosition="0"/>
      </pivotSelection>
    </sheetView>
  </sheetViews>
  <sheetFormatPr defaultRowHeight="14.4" x14ac:dyDescent="0.3"/>
  <cols>
    <col min="16" max="16" width="23.6640625" bestFit="1" customWidth="1"/>
    <col min="17" max="17" width="16.5546875" bestFit="1" customWidth="1"/>
    <col min="18" max="18" width="4.33203125" bestFit="1" customWidth="1"/>
    <col min="19" max="19" width="4.109375" bestFit="1" customWidth="1"/>
    <col min="20" max="20" width="3.44140625" bestFit="1" customWidth="1"/>
    <col min="21" max="21" width="4" bestFit="1" customWidth="1"/>
    <col min="22" max="22" width="7" bestFit="1" customWidth="1"/>
    <col min="23" max="23" width="10.6640625" bestFit="1" customWidth="1"/>
  </cols>
  <sheetData>
    <row r="1" spans="1:23" x14ac:dyDescent="0.3">
      <c r="A1" s="3"/>
      <c r="B1" s="3"/>
      <c r="C1" s="3"/>
      <c r="D1" s="3"/>
      <c r="E1" s="4"/>
      <c r="F1" s="4">
        <v>2017</v>
      </c>
      <c r="G1" s="3"/>
      <c r="H1" s="3"/>
      <c r="I1" s="3"/>
      <c r="J1" s="3"/>
      <c r="K1" s="4">
        <v>2018</v>
      </c>
      <c r="L1" s="3"/>
      <c r="M1" s="3"/>
      <c r="N1" s="3"/>
    </row>
    <row r="2" spans="1:23" x14ac:dyDescent="0.3">
      <c r="A2" s="3" t="s">
        <v>13</v>
      </c>
      <c r="B2" s="3" t="s">
        <v>14</v>
      </c>
      <c r="C2" s="3" t="s">
        <v>15</v>
      </c>
      <c r="D2" s="5" t="s">
        <v>8</v>
      </c>
      <c r="E2" s="6" t="s">
        <v>3</v>
      </c>
      <c r="F2" s="6" t="s">
        <v>4</v>
      </c>
      <c r="G2" s="6" t="s">
        <v>16</v>
      </c>
      <c r="H2" s="7" t="s">
        <v>17</v>
      </c>
      <c r="I2" s="5" t="s">
        <v>8</v>
      </c>
      <c r="J2" s="6" t="s">
        <v>3</v>
      </c>
      <c r="K2" s="6" t="s">
        <v>4</v>
      </c>
      <c r="L2" s="6" t="s">
        <v>16</v>
      </c>
      <c r="M2" s="7" t="s">
        <v>17</v>
      </c>
      <c r="N2" s="8" t="s">
        <v>18</v>
      </c>
    </row>
    <row r="3" spans="1:23" x14ac:dyDescent="0.3">
      <c r="A3" s="3">
        <v>1</v>
      </c>
      <c r="B3" s="3" t="s">
        <v>4</v>
      </c>
      <c r="C3" s="3" t="s">
        <v>4</v>
      </c>
      <c r="D3" s="9">
        <f>IF(B3="Top",1,0)</f>
        <v>0</v>
      </c>
      <c r="E3" s="3">
        <f>IF(B3="Mid",1,0)</f>
        <v>0</v>
      </c>
      <c r="F3" s="3">
        <f>IF(B3="Low",1,0)</f>
        <v>1</v>
      </c>
      <c r="G3" s="3">
        <f>IF(B3="Skilled",1,0)</f>
        <v>0</v>
      </c>
      <c r="H3" s="10">
        <f>IF(B3="Line",1,0)</f>
        <v>0</v>
      </c>
      <c r="I3" s="9">
        <f>IF(C3="Top",1,0)</f>
        <v>0</v>
      </c>
      <c r="J3" s="3">
        <f>IF(C3="Mid",1,0)</f>
        <v>0</v>
      </c>
      <c r="K3" s="3">
        <f>IF(C3="Low",1,0)</f>
        <v>1</v>
      </c>
      <c r="L3" s="3">
        <f>IF(C3="Skilled",1,0)</f>
        <v>0</v>
      </c>
      <c r="M3" s="10">
        <f>IF(C3="Line",1,0)</f>
        <v>0</v>
      </c>
      <c r="N3" s="11">
        <f>IF(C3="NA",1,0)</f>
        <v>0</v>
      </c>
      <c r="P3" s="16" t="s">
        <v>23</v>
      </c>
      <c r="Q3" s="16" t="s">
        <v>22</v>
      </c>
    </row>
    <row r="4" spans="1:23" x14ac:dyDescent="0.3">
      <c r="A4" s="3">
        <f t="shared" ref="A4:A67" si="0">+A3+1</f>
        <v>2</v>
      </c>
      <c r="B4" s="3" t="s">
        <v>4</v>
      </c>
      <c r="C4" s="3" t="s">
        <v>4</v>
      </c>
      <c r="D4" s="9">
        <f t="shared" ref="D4:D67" si="1">IF(B4="Top",1,0)</f>
        <v>0</v>
      </c>
      <c r="E4" s="3">
        <f t="shared" ref="E4:E67" si="2">IF(B4="Mid",1,0)</f>
        <v>0</v>
      </c>
      <c r="F4" s="3">
        <f t="shared" ref="F4:F67" si="3">IF(B4="Low",1,0)</f>
        <v>1</v>
      </c>
      <c r="G4" s="3">
        <f t="shared" ref="G4:G67" si="4">IF(B4="Skilled",1,0)</f>
        <v>0</v>
      </c>
      <c r="H4" s="10">
        <f t="shared" ref="H4:H67" si="5">IF(B4="Line",1,0)</f>
        <v>0</v>
      </c>
      <c r="I4" s="9">
        <f t="shared" ref="I4:I67" si="6">IF(C4="Top",1,0)</f>
        <v>0</v>
      </c>
      <c r="J4" s="3">
        <f t="shared" ref="J4:J67" si="7">IF(C4="Mid",1,0)</f>
        <v>0</v>
      </c>
      <c r="K4" s="3">
        <f t="shared" ref="K4:K67" si="8">IF(C4="Low",1,0)</f>
        <v>1</v>
      </c>
      <c r="L4" s="3">
        <f t="shared" ref="L4:L67" si="9">IF(C4="Skilled",1,0)</f>
        <v>0</v>
      </c>
      <c r="M4" s="10">
        <f t="shared" ref="M4:M67" si="10">IF(C4="Line",1,0)</f>
        <v>0</v>
      </c>
      <c r="N4" s="11">
        <f t="shared" ref="N4:N67" si="11">IF(C4="NA",1,0)</f>
        <v>0</v>
      </c>
      <c r="P4" s="16" t="s">
        <v>20</v>
      </c>
      <c r="Q4" t="s">
        <v>17</v>
      </c>
      <c r="R4" t="s">
        <v>4</v>
      </c>
      <c r="S4" t="s">
        <v>3</v>
      </c>
      <c r="T4" t="s">
        <v>19</v>
      </c>
      <c r="U4" t="s">
        <v>8</v>
      </c>
      <c r="V4" t="s">
        <v>21</v>
      </c>
    </row>
    <row r="5" spans="1:23" x14ac:dyDescent="0.3">
      <c r="A5" s="3">
        <f t="shared" si="0"/>
        <v>3</v>
      </c>
      <c r="B5" s="3" t="s">
        <v>4</v>
      </c>
      <c r="C5" s="3" t="s">
        <v>4</v>
      </c>
      <c r="D5" s="9">
        <f t="shared" si="1"/>
        <v>0</v>
      </c>
      <c r="E5" s="3">
        <f t="shared" si="2"/>
        <v>0</v>
      </c>
      <c r="F5" s="3">
        <f t="shared" si="3"/>
        <v>1</v>
      </c>
      <c r="G5" s="3">
        <f t="shared" si="4"/>
        <v>0</v>
      </c>
      <c r="H5" s="10">
        <f t="shared" si="5"/>
        <v>0</v>
      </c>
      <c r="I5" s="9">
        <f t="shared" si="6"/>
        <v>0</v>
      </c>
      <c r="J5" s="3">
        <f t="shared" si="7"/>
        <v>0</v>
      </c>
      <c r="K5" s="3">
        <f t="shared" si="8"/>
        <v>1</v>
      </c>
      <c r="L5" s="3">
        <f t="shared" si="9"/>
        <v>0</v>
      </c>
      <c r="M5" s="10">
        <f t="shared" si="10"/>
        <v>0</v>
      </c>
      <c r="N5" s="11">
        <f t="shared" si="11"/>
        <v>0</v>
      </c>
      <c r="P5" s="17" t="s">
        <v>17</v>
      </c>
      <c r="Q5" s="19">
        <v>9</v>
      </c>
      <c r="R5" s="19">
        <v>17</v>
      </c>
      <c r="S5" s="19"/>
      <c r="T5" s="19">
        <v>3</v>
      </c>
      <c r="U5" s="19"/>
      <c r="V5" s="19">
        <v>29</v>
      </c>
    </row>
    <row r="6" spans="1:23" x14ac:dyDescent="0.3">
      <c r="A6" s="3">
        <f t="shared" si="0"/>
        <v>4</v>
      </c>
      <c r="B6" s="3" t="s">
        <v>17</v>
      </c>
      <c r="C6" s="3" t="s">
        <v>17</v>
      </c>
      <c r="D6" s="9">
        <f t="shared" si="1"/>
        <v>0</v>
      </c>
      <c r="E6" s="3">
        <f t="shared" si="2"/>
        <v>0</v>
      </c>
      <c r="F6" s="3">
        <f t="shared" si="3"/>
        <v>0</v>
      </c>
      <c r="G6" s="3">
        <f t="shared" si="4"/>
        <v>0</v>
      </c>
      <c r="H6" s="10">
        <f t="shared" si="5"/>
        <v>1</v>
      </c>
      <c r="I6" s="9">
        <f t="shared" si="6"/>
        <v>0</v>
      </c>
      <c r="J6" s="3">
        <f t="shared" si="7"/>
        <v>0</v>
      </c>
      <c r="K6" s="3">
        <f t="shared" si="8"/>
        <v>0</v>
      </c>
      <c r="L6" s="3">
        <f t="shared" si="9"/>
        <v>0</v>
      </c>
      <c r="M6" s="10">
        <f t="shared" si="10"/>
        <v>1</v>
      </c>
      <c r="N6" s="11">
        <f t="shared" si="11"/>
        <v>0</v>
      </c>
      <c r="P6" s="17" t="s">
        <v>4</v>
      </c>
      <c r="Q6" s="19"/>
      <c r="R6" s="19">
        <v>21</v>
      </c>
      <c r="S6" s="19"/>
      <c r="T6" s="19">
        <v>7</v>
      </c>
      <c r="U6" s="19"/>
      <c r="V6" s="19">
        <v>28</v>
      </c>
    </row>
    <row r="7" spans="1:23" x14ac:dyDescent="0.3">
      <c r="A7" s="3">
        <f t="shared" si="0"/>
        <v>5</v>
      </c>
      <c r="B7" s="3" t="s">
        <v>17</v>
      </c>
      <c r="C7" s="3" t="s">
        <v>17</v>
      </c>
      <c r="D7" s="9">
        <f t="shared" si="1"/>
        <v>0</v>
      </c>
      <c r="E7" s="3">
        <f t="shared" si="2"/>
        <v>0</v>
      </c>
      <c r="F7" s="3">
        <f t="shared" si="3"/>
        <v>0</v>
      </c>
      <c r="G7" s="3">
        <f t="shared" si="4"/>
        <v>0</v>
      </c>
      <c r="H7" s="10">
        <f t="shared" si="5"/>
        <v>1</v>
      </c>
      <c r="I7" s="9">
        <f t="shared" si="6"/>
        <v>0</v>
      </c>
      <c r="J7" s="3">
        <f t="shared" si="7"/>
        <v>0</v>
      </c>
      <c r="K7" s="3">
        <f t="shared" si="8"/>
        <v>0</v>
      </c>
      <c r="L7" s="3">
        <f t="shared" si="9"/>
        <v>0</v>
      </c>
      <c r="M7" s="10">
        <f t="shared" si="10"/>
        <v>1</v>
      </c>
      <c r="N7" s="11">
        <f t="shared" si="11"/>
        <v>0</v>
      </c>
      <c r="P7" s="17" t="s">
        <v>3</v>
      </c>
      <c r="Q7" s="19"/>
      <c r="R7" s="19"/>
      <c r="S7" s="19">
        <v>11</v>
      </c>
      <c r="T7" s="19">
        <v>9</v>
      </c>
      <c r="U7" s="19">
        <v>3</v>
      </c>
      <c r="V7" s="19">
        <v>23</v>
      </c>
    </row>
    <row r="8" spans="1:23" x14ac:dyDescent="0.3">
      <c r="A8" s="3">
        <f t="shared" si="0"/>
        <v>6</v>
      </c>
      <c r="B8" s="3" t="s">
        <v>4</v>
      </c>
      <c r="C8" s="3" t="s">
        <v>19</v>
      </c>
      <c r="D8" s="9">
        <f t="shared" si="1"/>
        <v>0</v>
      </c>
      <c r="E8" s="3">
        <f t="shared" si="2"/>
        <v>0</v>
      </c>
      <c r="F8" s="3">
        <f t="shared" si="3"/>
        <v>1</v>
      </c>
      <c r="G8" s="3">
        <f t="shared" si="4"/>
        <v>0</v>
      </c>
      <c r="H8" s="10">
        <f t="shared" si="5"/>
        <v>0</v>
      </c>
      <c r="I8" s="9">
        <f t="shared" si="6"/>
        <v>0</v>
      </c>
      <c r="J8" s="3">
        <f t="shared" si="7"/>
        <v>0</v>
      </c>
      <c r="K8" s="3">
        <f t="shared" si="8"/>
        <v>0</v>
      </c>
      <c r="L8" s="3">
        <f t="shared" si="9"/>
        <v>0</v>
      </c>
      <c r="M8" s="10">
        <f t="shared" si="10"/>
        <v>0</v>
      </c>
      <c r="N8" s="11">
        <f t="shared" si="11"/>
        <v>1</v>
      </c>
      <c r="P8" s="17" t="s">
        <v>16</v>
      </c>
      <c r="Q8" s="19"/>
      <c r="R8" s="19">
        <v>29</v>
      </c>
      <c r="S8" s="19"/>
      <c r="T8" s="19">
        <v>13</v>
      </c>
      <c r="U8" s="19"/>
      <c r="V8" s="19">
        <v>42</v>
      </c>
    </row>
    <row r="9" spans="1:23" x14ac:dyDescent="0.3">
      <c r="A9" s="3">
        <f t="shared" si="0"/>
        <v>7</v>
      </c>
      <c r="B9" s="3" t="s">
        <v>17</v>
      </c>
      <c r="C9" s="3" t="s">
        <v>19</v>
      </c>
      <c r="D9" s="9">
        <f t="shared" si="1"/>
        <v>0</v>
      </c>
      <c r="E9" s="3">
        <f t="shared" si="2"/>
        <v>0</v>
      </c>
      <c r="F9" s="3">
        <f t="shared" si="3"/>
        <v>0</v>
      </c>
      <c r="G9" s="3">
        <f t="shared" si="4"/>
        <v>0</v>
      </c>
      <c r="H9" s="10">
        <f t="shared" si="5"/>
        <v>1</v>
      </c>
      <c r="I9" s="9">
        <f t="shared" si="6"/>
        <v>0</v>
      </c>
      <c r="J9" s="3">
        <f t="shared" si="7"/>
        <v>0</v>
      </c>
      <c r="K9" s="3">
        <f t="shared" si="8"/>
        <v>0</v>
      </c>
      <c r="L9" s="3">
        <f t="shared" si="9"/>
        <v>0</v>
      </c>
      <c r="M9" s="10">
        <f t="shared" si="10"/>
        <v>0</v>
      </c>
      <c r="N9" s="11">
        <f t="shared" si="11"/>
        <v>1</v>
      </c>
      <c r="P9" s="17" t="s">
        <v>8</v>
      </c>
      <c r="Q9" s="19"/>
      <c r="R9" s="19"/>
      <c r="S9" s="19">
        <v>7</v>
      </c>
      <c r="T9" s="19">
        <v>1</v>
      </c>
      <c r="U9" s="19">
        <v>5</v>
      </c>
      <c r="V9" s="19">
        <v>13</v>
      </c>
    </row>
    <row r="10" spans="1:23" x14ac:dyDescent="0.3">
      <c r="A10" s="3">
        <f t="shared" si="0"/>
        <v>8</v>
      </c>
      <c r="B10" s="3" t="s">
        <v>16</v>
      </c>
      <c r="C10" s="3" t="s">
        <v>19</v>
      </c>
      <c r="D10" s="9">
        <f t="shared" si="1"/>
        <v>0</v>
      </c>
      <c r="E10" s="3">
        <f t="shared" si="2"/>
        <v>0</v>
      </c>
      <c r="F10" s="3">
        <f t="shared" si="3"/>
        <v>0</v>
      </c>
      <c r="G10" s="3">
        <f t="shared" si="4"/>
        <v>1</v>
      </c>
      <c r="H10" s="10">
        <f t="shared" si="5"/>
        <v>0</v>
      </c>
      <c r="I10" s="9">
        <f t="shared" si="6"/>
        <v>0</v>
      </c>
      <c r="J10" s="3">
        <f t="shared" si="7"/>
        <v>0</v>
      </c>
      <c r="K10" s="3">
        <f t="shared" si="8"/>
        <v>0</v>
      </c>
      <c r="L10" s="3">
        <f t="shared" si="9"/>
        <v>0</v>
      </c>
      <c r="M10" s="10">
        <f t="shared" si="10"/>
        <v>0</v>
      </c>
      <c r="N10" s="11">
        <f t="shared" si="11"/>
        <v>1</v>
      </c>
      <c r="P10" s="17" t="s">
        <v>21</v>
      </c>
      <c r="Q10" s="19">
        <v>9</v>
      </c>
      <c r="R10" s="19">
        <v>67</v>
      </c>
      <c r="S10" s="19">
        <v>18</v>
      </c>
      <c r="T10" s="19">
        <v>33</v>
      </c>
      <c r="U10" s="19">
        <v>8</v>
      </c>
      <c r="V10" s="19">
        <v>135</v>
      </c>
    </row>
    <row r="11" spans="1:23" x14ac:dyDescent="0.3">
      <c r="A11" s="3">
        <f t="shared" si="0"/>
        <v>9</v>
      </c>
      <c r="B11" s="3" t="s">
        <v>4</v>
      </c>
      <c r="C11" s="3" t="s">
        <v>19</v>
      </c>
      <c r="D11" s="9">
        <f t="shared" si="1"/>
        <v>0</v>
      </c>
      <c r="E11" s="3">
        <f t="shared" si="2"/>
        <v>0</v>
      </c>
      <c r="F11" s="3">
        <f t="shared" si="3"/>
        <v>1</v>
      </c>
      <c r="G11" s="3">
        <f t="shared" si="4"/>
        <v>0</v>
      </c>
      <c r="H11" s="10">
        <f t="shared" si="5"/>
        <v>0</v>
      </c>
      <c r="I11" s="9">
        <f t="shared" si="6"/>
        <v>0</v>
      </c>
      <c r="J11" s="3">
        <f t="shared" si="7"/>
        <v>0</v>
      </c>
      <c r="K11" s="3">
        <f t="shared" si="8"/>
        <v>0</v>
      </c>
      <c r="L11" s="3">
        <f t="shared" si="9"/>
        <v>0</v>
      </c>
      <c r="M11" s="10">
        <f t="shared" si="10"/>
        <v>0</v>
      </c>
      <c r="N11" s="11">
        <f t="shared" si="11"/>
        <v>1</v>
      </c>
    </row>
    <row r="12" spans="1:23" x14ac:dyDescent="0.3">
      <c r="A12" s="3">
        <f t="shared" si="0"/>
        <v>10</v>
      </c>
      <c r="B12" s="3" t="s">
        <v>17</v>
      </c>
      <c r="C12" s="3" t="s">
        <v>17</v>
      </c>
      <c r="D12" s="9">
        <f t="shared" si="1"/>
        <v>0</v>
      </c>
      <c r="E12" s="3">
        <f t="shared" si="2"/>
        <v>0</v>
      </c>
      <c r="F12" s="3">
        <f t="shared" si="3"/>
        <v>0</v>
      </c>
      <c r="G12" s="3">
        <f t="shared" si="4"/>
        <v>0</v>
      </c>
      <c r="H12" s="10">
        <f t="shared" si="5"/>
        <v>1</v>
      </c>
      <c r="I12" s="9">
        <f t="shared" si="6"/>
        <v>0</v>
      </c>
      <c r="J12" s="3">
        <f t="shared" si="7"/>
        <v>0</v>
      </c>
      <c r="K12" s="3">
        <f t="shared" si="8"/>
        <v>0</v>
      </c>
      <c r="L12" s="3">
        <f t="shared" si="9"/>
        <v>0</v>
      </c>
      <c r="M12" s="10">
        <f t="shared" si="10"/>
        <v>1</v>
      </c>
      <c r="N12" s="11">
        <f t="shared" si="11"/>
        <v>0</v>
      </c>
    </row>
    <row r="13" spans="1:23" x14ac:dyDescent="0.3">
      <c r="A13" s="3">
        <f t="shared" si="0"/>
        <v>11</v>
      </c>
      <c r="B13" s="3" t="s">
        <v>17</v>
      </c>
      <c r="C13" s="3" t="s">
        <v>17</v>
      </c>
      <c r="D13" s="9">
        <f t="shared" si="1"/>
        <v>0</v>
      </c>
      <c r="E13" s="3">
        <f t="shared" si="2"/>
        <v>0</v>
      </c>
      <c r="F13" s="3">
        <f t="shared" si="3"/>
        <v>0</v>
      </c>
      <c r="G13" s="3">
        <f t="shared" si="4"/>
        <v>0</v>
      </c>
      <c r="H13" s="10">
        <f t="shared" si="5"/>
        <v>1</v>
      </c>
      <c r="I13" s="9">
        <f t="shared" si="6"/>
        <v>0</v>
      </c>
      <c r="J13" s="3">
        <f t="shared" si="7"/>
        <v>0</v>
      </c>
      <c r="K13" s="3">
        <f t="shared" si="8"/>
        <v>0</v>
      </c>
      <c r="L13" s="3">
        <f t="shared" si="9"/>
        <v>0</v>
      </c>
      <c r="M13" s="10">
        <f t="shared" si="10"/>
        <v>1</v>
      </c>
      <c r="N13" s="11">
        <f t="shared" si="11"/>
        <v>0</v>
      </c>
    </row>
    <row r="14" spans="1:23" x14ac:dyDescent="0.3">
      <c r="A14" s="3">
        <f t="shared" si="0"/>
        <v>12</v>
      </c>
      <c r="B14" s="3" t="s">
        <v>16</v>
      </c>
      <c r="C14" s="3" t="s">
        <v>19</v>
      </c>
      <c r="D14" s="9">
        <f t="shared" si="1"/>
        <v>0</v>
      </c>
      <c r="E14" s="3">
        <f t="shared" si="2"/>
        <v>0</v>
      </c>
      <c r="F14" s="3">
        <f t="shared" si="3"/>
        <v>0</v>
      </c>
      <c r="G14" s="3">
        <f t="shared" si="4"/>
        <v>1</v>
      </c>
      <c r="H14" s="10">
        <f t="shared" si="5"/>
        <v>0</v>
      </c>
      <c r="I14" s="9">
        <f t="shared" si="6"/>
        <v>0</v>
      </c>
      <c r="J14" s="3">
        <f t="shared" si="7"/>
        <v>0</v>
      </c>
      <c r="K14" s="3">
        <f t="shared" si="8"/>
        <v>0</v>
      </c>
      <c r="L14" s="3">
        <f t="shared" si="9"/>
        <v>0</v>
      </c>
      <c r="M14" s="10">
        <f t="shared" si="10"/>
        <v>0</v>
      </c>
      <c r="N14" s="11">
        <f t="shared" si="11"/>
        <v>1</v>
      </c>
      <c r="P14" s="16" t="s">
        <v>23</v>
      </c>
      <c r="Q14" s="16" t="s">
        <v>22</v>
      </c>
    </row>
    <row r="15" spans="1:23" x14ac:dyDescent="0.3">
      <c r="A15" s="3">
        <f t="shared" si="0"/>
        <v>13</v>
      </c>
      <c r="B15" s="3" t="s">
        <v>16</v>
      </c>
      <c r="C15" s="3" t="s">
        <v>4</v>
      </c>
      <c r="D15" s="9">
        <f t="shared" si="1"/>
        <v>0</v>
      </c>
      <c r="E15" s="3">
        <f t="shared" si="2"/>
        <v>0</v>
      </c>
      <c r="F15" s="3">
        <f t="shared" si="3"/>
        <v>0</v>
      </c>
      <c r="G15" s="3">
        <f t="shared" si="4"/>
        <v>1</v>
      </c>
      <c r="H15" s="10">
        <f t="shared" si="5"/>
        <v>0</v>
      </c>
      <c r="I15" s="9">
        <f t="shared" si="6"/>
        <v>0</v>
      </c>
      <c r="J15" s="3">
        <f t="shared" si="7"/>
        <v>0</v>
      </c>
      <c r="K15" s="3">
        <f t="shared" si="8"/>
        <v>1</v>
      </c>
      <c r="L15" s="3">
        <f t="shared" si="9"/>
        <v>0</v>
      </c>
      <c r="M15" s="10">
        <f t="shared" si="10"/>
        <v>0</v>
      </c>
      <c r="N15" s="11">
        <f t="shared" si="11"/>
        <v>0</v>
      </c>
      <c r="P15" s="16" t="s">
        <v>20</v>
      </c>
      <c r="Q15" t="s">
        <v>17</v>
      </c>
      <c r="R15" t="s">
        <v>4</v>
      </c>
      <c r="S15" t="s">
        <v>3</v>
      </c>
      <c r="T15" t="s">
        <v>19</v>
      </c>
      <c r="U15" t="s">
        <v>8</v>
      </c>
      <c r="V15" t="s">
        <v>29</v>
      </c>
      <c r="W15" t="s">
        <v>21</v>
      </c>
    </row>
    <row r="16" spans="1:23" x14ac:dyDescent="0.3">
      <c r="A16" s="3">
        <f t="shared" si="0"/>
        <v>14</v>
      </c>
      <c r="B16" s="3" t="s">
        <v>16</v>
      </c>
      <c r="C16" s="3" t="s">
        <v>4</v>
      </c>
      <c r="D16" s="9">
        <f t="shared" si="1"/>
        <v>0</v>
      </c>
      <c r="E16" s="3">
        <f t="shared" si="2"/>
        <v>0</v>
      </c>
      <c r="F16" s="3">
        <f t="shared" si="3"/>
        <v>0</v>
      </c>
      <c r="G16" s="3">
        <f t="shared" si="4"/>
        <v>1</v>
      </c>
      <c r="H16" s="10">
        <f t="shared" si="5"/>
        <v>0</v>
      </c>
      <c r="I16" s="9">
        <f t="shared" si="6"/>
        <v>0</v>
      </c>
      <c r="J16" s="3">
        <f t="shared" si="7"/>
        <v>0</v>
      </c>
      <c r="K16" s="3">
        <f t="shared" si="8"/>
        <v>1</v>
      </c>
      <c r="L16" s="3">
        <f t="shared" si="9"/>
        <v>0</v>
      </c>
      <c r="M16" s="10">
        <f t="shared" si="10"/>
        <v>0</v>
      </c>
      <c r="N16" s="11">
        <f t="shared" si="11"/>
        <v>0</v>
      </c>
      <c r="P16" s="17" t="s">
        <v>17</v>
      </c>
      <c r="Q16" s="19">
        <v>9</v>
      </c>
      <c r="R16" s="19">
        <v>17</v>
      </c>
      <c r="S16" s="19"/>
      <c r="T16" s="19">
        <v>3</v>
      </c>
      <c r="U16" s="19"/>
      <c r="V16" s="19"/>
      <c r="W16" s="19">
        <v>29</v>
      </c>
    </row>
    <row r="17" spans="1:23" x14ac:dyDescent="0.3">
      <c r="A17" s="3">
        <f t="shared" si="0"/>
        <v>15</v>
      </c>
      <c r="B17" s="3" t="s">
        <v>4</v>
      </c>
      <c r="C17" s="3" t="s">
        <v>4</v>
      </c>
      <c r="D17" s="9">
        <f t="shared" si="1"/>
        <v>0</v>
      </c>
      <c r="E17" s="3">
        <f t="shared" si="2"/>
        <v>0</v>
      </c>
      <c r="F17" s="3">
        <f t="shared" si="3"/>
        <v>1</v>
      </c>
      <c r="G17" s="3">
        <f t="shared" si="4"/>
        <v>0</v>
      </c>
      <c r="H17" s="10">
        <f t="shared" si="5"/>
        <v>0</v>
      </c>
      <c r="I17" s="9">
        <f t="shared" si="6"/>
        <v>0</v>
      </c>
      <c r="J17" s="3">
        <f t="shared" si="7"/>
        <v>0</v>
      </c>
      <c r="K17" s="3">
        <f t="shared" si="8"/>
        <v>1</v>
      </c>
      <c r="L17" s="3">
        <f t="shared" si="9"/>
        <v>0</v>
      </c>
      <c r="M17" s="10">
        <f t="shared" si="10"/>
        <v>0</v>
      </c>
      <c r="N17" s="11">
        <f t="shared" si="11"/>
        <v>0</v>
      </c>
      <c r="P17" s="17" t="s">
        <v>4</v>
      </c>
      <c r="Q17" s="19"/>
      <c r="R17" s="19">
        <v>21</v>
      </c>
      <c r="S17" s="19"/>
      <c r="T17" s="19">
        <v>7</v>
      </c>
      <c r="U17" s="19"/>
      <c r="V17" s="19"/>
      <c r="W17" s="19">
        <v>28</v>
      </c>
    </row>
    <row r="18" spans="1:23" x14ac:dyDescent="0.3">
      <c r="A18" s="3">
        <f t="shared" si="0"/>
        <v>16</v>
      </c>
      <c r="B18" s="3" t="s">
        <v>16</v>
      </c>
      <c r="C18" s="3" t="s">
        <v>4</v>
      </c>
      <c r="D18" s="9">
        <f t="shared" si="1"/>
        <v>0</v>
      </c>
      <c r="E18" s="3">
        <f t="shared" si="2"/>
        <v>0</v>
      </c>
      <c r="F18" s="3">
        <f t="shared" si="3"/>
        <v>0</v>
      </c>
      <c r="G18" s="3">
        <f t="shared" si="4"/>
        <v>1</v>
      </c>
      <c r="H18" s="10">
        <f t="shared" si="5"/>
        <v>0</v>
      </c>
      <c r="I18" s="9">
        <f t="shared" si="6"/>
        <v>0</v>
      </c>
      <c r="J18" s="3">
        <f t="shared" si="7"/>
        <v>0</v>
      </c>
      <c r="K18" s="3">
        <f t="shared" si="8"/>
        <v>1</v>
      </c>
      <c r="L18" s="3">
        <f t="shared" si="9"/>
        <v>0</v>
      </c>
      <c r="M18" s="10">
        <f t="shared" si="10"/>
        <v>0</v>
      </c>
      <c r="N18" s="11">
        <f t="shared" si="11"/>
        <v>0</v>
      </c>
      <c r="P18" s="17" t="s">
        <v>3</v>
      </c>
      <c r="Q18" s="19"/>
      <c r="R18" s="19"/>
      <c r="S18" s="19">
        <v>11</v>
      </c>
      <c r="T18" s="19">
        <v>9</v>
      </c>
      <c r="U18" s="19">
        <v>3</v>
      </c>
      <c r="V18" s="19"/>
      <c r="W18" s="19">
        <v>23</v>
      </c>
    </row>
    <row r="19" spans="1:23" x14ac:dyDescent="0.3">
      <c r="A19" s="3">
        <f t="shared" si="0"/>
        <v>17</v>
      </c>
      <c r="B19" s="3" t="s">
        <v>16</v>
      </c>
      <c r="C19" s="3" t="s">
        <v>4</v>
      </c>
      <c r="D19" s="9">
        <f t="shared" si="1"/>
        <v>0</v>
      </c>
      <c r="E19" s="3">
        <f t="shared" si="2"/>
        <v>0</v>
      </c>
      <c r="F19" s="3">
        <f t="shared" si="3"/>
        <v>0</v>
      </c>
      <c r="G19" s="3">
        <f t="shared" si="4"/>
        <v>1</v>
      </c>
      <c r="H19" s="10">
        <f t="shared" si="5"/>
        <v>0</v>
      </c>
      <c r="I19" s="9">
        <f t="shared" si="6"/>
        <v>0</v>
      </c>
      <c r="J19" s="3">
        <f t="shared" si="7"/>
        <v>0</v>
      </c>
      <c r="K19" s="3">
        <f t="shared" si="8"/>
        <v>1</v>
      </c>
      <c r="L19" s="3">
        <f t="shared" si="9"/>
        <v>0</v>
      </c>
      <c r="M19" s="10">
        <f t="shared" si="10"/>
        <v>0</v>
      </c>
      <c r="N19" s="11">
        <f t="shared" si="11"/>
        <v>0</v>
      </c>
      <c r="P19" s="17" t="s">
        <v>16</v>
      </c>
      <c r="Q19" s="19"/>
      <c r="R19" s="19">
        <v>29</v>
      </c>
      <c r="S19" s="19"/>
      <c r="T19" s="19">
        <v>13</v>
      </c>
      <c r="U19" s="19"/>
      <c r="V19" s="19"/>
      <c r="W19" s="19">
        <v>42</v>
      </c>
    </row>
    <row r="20" spans="1:23" x14ac:dyDescent="0.3">
      <c r="A20" s="3">
        <f t="shared" si="0"/>
        <v>18</v>
      </c>
      <c r="B20" s="3" t="s">
        <v>4</v>
      </c>
      <c r="C20" s="3" t="s">
        <v>4</v>
      </c>
      <c r="D20" s="9">
        <f t="shared" si="1"/>
        <v>0</v>
      </c>
      <c r="E20" s="3">
        <f t="shared" si="2"/>
        <v>0</v>
      </c>
      <c r="F20" s="3">
        <f t="shared" si="3"/>
        <v>1</v>
      </c>
      <c r="G20" s="3">
        <f t="shared" si="4"/>
        <v>0</v>
      </c>
      <c r="H20" s="10">
        <f t="shared" si="5"/>
        <v>0</v>
      </c>
      <c r="I20" s="9">
        <f t="shared" si="6"/>
        <v>0</v>
      </c>
      <c r="J20" s="3">
        <f t="shared" si="7"/>
        <v>0</v>
      </c>
      <c r="K20" s="3">
        <f t="shared" si="8"/>
        <v>1</v>
      </c>
      <c r="L20" s="3">
        <f t="shared" si="9"/>
        <v>0</v>
      </c>
      <c r="M20" s="10">
        <f t="shared" si="10"/>
        <v>0</v>
      </c>
      <c r="N20" s="11">
        <f t="shared" si="11"/>
        <v>0</v>
      </c>
      <c r="P20" s="17" t="s">
        <v>8</v>
      </c>
      <c r="Q20" s="19"/>
      <c r="R20" s="19"/>
      <c r="S20" s="19">
        <v>7</v>
      </c>
      <c r="T20" s="19">
        <v>1</v>
      </c>
      <c r="U20" s="19">
        <v>5</v>
      </c>
      <c r="V20" s="19"/>
      <c r="W20" s="19">
        <v>13</v>
      </c>
    </row>
    <row r="21" spans="1:23" x14ac:dyDescent="0.3">
      <c r="A21" s="3">
        <f t="shared" si="0"/>
        <v>19</v>
      </c>
      <c r="B21" s="3" t="s">
        <v>4</v>
      </c>
      <c r="C21" s="3" t="s">
        <v>4</v>
      </c>
      <c r="D21" s="9">
        <f t="shared" si="1"/>
        <v>0</v>
      </c>
      <c r="E21" s="3">
        <f t="shared" si="2"/>
        <v>0</v>
      </c>
      <c r="F21" s="3">
        <f t="shared" si="3"/>
        <v>1</v>
      </c>
      <c r="G21" s="3">
        <f t="shared" si="4"/>
        <v>0</v>
      </c>
      <c r="H21" s="10">
        <f t="shared" si="5"/>
        <v>0</v>
      </c>
      <c r="I21" s="9">
        <f t="shared" si="6"/>
        <v>0</v>
      </c>
      <c r="J21" s="3">
        <f t="shared" si="7"/>
        <v>0</v>
      </c>
      <c r="K21" s="3">
        <f t="shared" si="8"/>
        <v>1</v>
      </c>
      <c r="L21" s="3">
        <f t="shared" si="9"/>
        <v>0</v>
      </c>
      <c r="M21" s="10">
        <f t="shared" si="10"/>
        <v>0</v>
      </c>
      <c r="N21" s="11">
        <f t="shared" si="11"/>
        <v>0</v>
      </c>
      <c r="P21" s="17" t="s">
        <v>29</v>
      </c>
      <c r="Q21" s="19"/>
      <c r="R21" s="19"/>
      <c r="S21" s="19"/>
      <c r="T21" s="19"/>
      <c r="U21" s="19"/>
      <c r="V21" s="19"/>
      <c r="W21" s="19"/>
    </row>
    <row r="22" spans="1:23" x14ac:dyDescent="0.3">
      <c r="A22" s="3">
        <f t="shared" si="0"/>
        <v>20</v>
      </c>
      <c r="B22" s="3" t="s">
        <v>16</v>
      </c>
      <c r="C22" s="3" t="s">
        <v>4</v>
      </c>
      <c r="D22" s="9">
        <f t="shared" si="1"/>
        <v>0</v>
      </c>
      <c r="E22" s="3">
        <f t="shared" si="2"/>
        <v>0</v>
      </c>
      <c r="F22" s="3">
        <f t="shared" si="3"/>
        <v>0</v>
      </c>
      <c r="G22" s="3">
        <f t="shared" si="4"/>
        <v>1</v>
      </c>
      <c r="H22" s="10">
        <f t="shared" si="5"/>
        <v>0</v>
      </c>
      <c r="I22" s="9">
        <f t="shared" si="6"/>
        <v>0</v>
      </c>
      <c r="J22" s="3">
        <f t="shared" si="7"/>
        <v>0</v>
      </c>
      <c r="K22" s="3">
        <f t="shared" si="8"/>
        <v>1</v>
      </c>
      <c r="L22" s="3">
        <f t="shared" si="9"/>
        <v>0</v>
      </c>
      <c r="M22" s="10">
        <f t="shared" si="10"/>
        <v>0</v>
      </c>
      <c r="N22" s="11">
        <f t="shared" si="11"/>
        <v>0</v>
      </c>
      <c r="P22" s="17" t="s">
        <v>21</v>
      </c>
      <c r="Q22" s="19">
        <v>9</v>
      </c>
      <c r="R22" s="19">
        <v>67</v>
      </c>
      <c r="S22" s="19">
        <v>18</v>
      </c>
      <c r="T22" s="19">
        <v>33</v>
      </c>
      <c r="U22" s="19">
        <v>8</v>
      </c>
      <c r="V22" s="19"/>
      <c r="W22" s="19">
        <v>135</v>
      </c>
    </row>
    <row r="23" spans="1:23" x14ac:dyDescent="0.3">
      <c r="A23" s="3">
        <f t="shared" si="0"/>
        <v>21</v>
      </c>
      <c r="B23" s="3" t="s">
        <v>16</v>
      </c>
      <c r="C23" s="3" t="s">
        <v>4</v>
      </c>
      <c r="D23" s="9">
        <f t="shared" si="1"/>
        <v>0</v>
      </c>
      <c r="E23" s="3">
        <f t="shared" si="2"/>
        <v>0</v>
      </c>
      <c r="F23" s="3">
        <f t="shared" si="3"/>
        <v>0</v>
      </c>
      <c r="G23" s="3">
        <f t="shared" si="4"/>
        <v>1</v>
      </c>
      <c r="H23" s="10">
        <f t="shared" si="5"/>
        <v>0</v>
      </c>
      <c r="I23" s="9">
        <f t="shared" si="6"/>
        <v>0</v>
      </c>
      <c r="J23" s="3">
        <f t="shared" si="7"/>
        <v>0</v>
      </c>
      <c r="K23" s="3">
        <f t="shared" si="8"/>
        <v>1</v>
      </c>
      <c r="L23" s="3">
        <f t="shared" si="9"/>
        <v>0</v>
      </c>
      <c r="M23" s="10">
        <f t="shared" si="10"/>
        <v>0</v>
      </c>
      <c r="N23" s="11">
        <f t="shared" si="11"/>
        <v>0</v>
      </c>
    </row>
    <row r="24" spans="1:23" x14ac:dyDescent="0.3">
      <c r="A24" s="3">
        <f t="shared" si="0"/>
        <v>22</v>
      </c>
      <c r="B24" s="3" t="s">
        <v>3</v>
      </c>
      <c r="C24" s="3" t="s">
        <v>19</v>
      </c>
      <c r="D24" s="9">
        <f t="shared" si="1"/>
        <v>0</v>
      </c>
      <c r="E24" s="3">
        <f t="shared" si="2"/>
        <v>1</v>
      </c>
      <c r="F24" s="3">
        <f t="shared" si="3"/>
        <v>0</v>
      </c>
      <c r="G24" s="3">
        <f t="shared" si="4"/>
        <v>0</v>
      </c>
      <c r="H24" s="10">
        <f t="shared" si="5"/>
        <v>0</v>
      </c>
      <c r="I24" s="9">
        <f t="shared" si="6"/>
        <v>0</v>
      </c>
      <c r="J24" s="3">
        <f t="shared" si="7"/>
        <v>0</v>
      </c>
      <c r="K24" s="3">
        <f t="shared" si="8"/>
        <v>0</v>
      </c>
      <c r="L24" s="3">
        <f t="shared" si="9"/>
        <v>0</v>
      </c>
      <c r="M24" s="10">
        <f t="shared" si="10"/>
        <v>0</v>
      </c>
      <c r="N24" s="11">
        <f t="shared" si="11"/>
        <v>1</v>
      </c>
    </row>
    <row r="25" spans="1:23" x14ac:dyDescent="0.3">
      <c r="A25" s="3">
        <f t="shared" si="0"/>
        <v>23</v>
      </c>
      <c r="B25" s="3" t="s">
        <v>3</v>
      </c>
      <c r="C25" s="3" t="s">
        <v>19</v>
      </c>
      <c r="D25" s="9">
        <f t="shared" si="1"/>
        <v>0</v>
      </c>
      <c r="E25" s="3">
        <f t="shared" si="2"/>
        <v>1</v>
      </c>
      <c r="F25" s="3">
        <f t="shared" si="3"/>
        <v>0</v>
      </c>
      <c r="G25" s="3">
        <f t="shared" si="4"/>
        <v>0</v>
      </c>
      <c r="H25" s="10">
        <f t="shared" si="5"/>
        <v>0</v>
      </c>
      <c r="I25" s="9">
        <f t="shared" si="6"/>
        <v>0</v>
      </c>
      <c r="J25" s="3">
        <f t="shared" si="7"/>
        <v>0</v>
      </c>
      <c r="K25" s="3">
        <f t="shared" si="8"/>
        <v>0</v>
      </c>
      <c r="L25" s="3">
        <f t="shared" si="9"/>
        <v>0</v>
      </c>
      <c r="M25" s="10">
        <f t="shared" si="10"/>
        <v>0</v>
      </c>
      <c r="N25" s="11">
        <f t="shared" si="11"/>
        <v>1</v>
      </c>
    </row>
    <row r="26" spans="1:23" x14ac:dyDescent="0.3">
      <c r="A26" s="3">
        <f t="shared" si="0"/>
        <v>24</v>
      </c>
      <c r="B26" s="3" t="s">
        <v>3</v>
      </c>
      <c r="C26" s="3" t="s">
        <v>3</v>
      </c>
      <c r="D26" s="9">
        <f t="shared" si="1"/>
        <v>0</v>
      </c>
      <c r="E26" s="3">
        <f t="shared" si="2"/>
        <v>1</v>
      </c>
      <c r="F26" s="3">
        <f t="shared" si="3"/>
        <v>0</v>
      </c>
      <c r="G26" s="3">
        <f t="shared" si="4"/>
        <v>0</v>
      </c>
      <c r="H26" s="10">
        <f t="shared" si="5"/>
        <v>0</v>
      </c>
      <c r="I26" s="9">
        <f t="shared" si="6"/>
        <v>0</v>
      </c>
      <c r="J26" s="3">
        <f t="shared" si="7"/>
        <v>1</v>
      </c>
      <c r="K26" s="3">
        <f t="shared" si="8"/>
        <v>0</v>
      </c>
      <c r="L26" s="3">
        <f t="shared" si="9"/>
        <v>0</v>
      </c>
      <c r="M26" s="10">
        <f t="shared" si="10"/>
        <v>0</v>
      </c>
      <c r="N26" s="11">
        <f t="shared" si="11"/>
        <v>0</v>
      </c>
    </row>
    <row r="27" spans="1:23" x14ac:dyDescent="0.3">
      <c r="A27" s="3">
        <f t="shared" si="0"/>
        <v>25</v>
      </c>
      <c r="B27" s="3" t="s">
        <v>17</v>
      </c>
      <c r="C27" s="3" t="s">
        <v>4</v>
      </c>
      <c r="D27" s="9">
        <f t="shared" si="1"/>
        <v>0</v>
      </c>
      <c r="E27" s="3">
        <f t="shared" si="2"/>
        <v>0</v>
      </c>
      <c r="F27" s="3">
        <f t="shared" si="3"/>
        <v>0</v>
      </c>
      <c r="G27" s="3">
        <f t="shared" si="4"/>
        <v>0</v>
      </c>
      <c r="H27" s="10">
        <f t="shared" si="5"/>
        <v>1</v>
      </c>
      <c r="I27" s="9">
        <f t="shared" si="6"/>
        <v>0</v>
      </c>
      <c r="J27" s="3">
        <f t="shared" si="7"/>
        <v>0</v>
      </c>
      <c r="K27" s="3">
        <f t="shared" si="8"/>
        <v>1</v>
      </c>
      <c r="L27" s="3">
        <f t="shared" si="9"/>
        <v>0</v>
      </c>
      <c r="M27" s="10">
        <f t="shared" si="10"/>
        <v>0</v>
      </c>
      <c r="N27" s="11">
        <f t="shared" si="11"/>
        <v>0</v>
      </c>
    </row>
    <row r="28" spans="1:23" x14ac:dyDescent="0.3">
      <c r="A28" s="3">
        <f t="shared" si="0"/>
        <v>26</v>
      </c>
      <c r="B28" s="3" t="s">
        <v>17</v>
      </c>
      <c r="C28" s="3" t="s">
        <v>4</v>
      </c>
      <c r="D28" s="9">
        <f t="shared" si="1"/>
        <v>0</v>
      </c>
      <c r="E28" s="3">
        <f t="shared" si="2"/>
        <v>0</v>
      </c>
      <c r="F28" s="3">
        <f t="shared" si="3"/>
        <v>0</v>
      </c>
      <c r="G28" s="3">
        <f t="shared" si="4"/>
        <v>0</v>
      </c>
      <c r="H28" s="10">
        <f t="shared" si="5"/>
        <v>1</v>
      </c>
      <c r="I28" s="9">
        <f t="shared" si="6"/>
        <v>0</v>
      </c>
      <c r="J28" s="3">
        <f t="shared" si="7"/>
        <v>0</v>
      </c>
      <c r="K28" s="3">
        <f t="shared" si="8"/>
        <v>1</v>
      </c>
      <c r="L28" s="3">
        <f t="shared" si="9"/>
        <v>0</v>
      </c>
      <c r="M28" s="10">
        <f t="shared" si="10"/>
        <v>0</v>
      </c>
      <c r="N28" s="11">
        <f t="shared" si="11"/>
        <v>0</v>
      </c>
    </row>
    <row r="29" spans="1:23" x14ac:dyDescent="0.3">
      <c r="A29" s="3">
        <f t="shared" si="0"/>
        <v>27</v>
      </c>
      <c r="B29" s="3" t="s">
        <v>16</v>
      </c>
      <c r="C29" s="3" t="s">
        <v>4</v>
      </c>
      <c r="D29" s="9">
        <f t="shared" si="1"/>
        <v>0</v>
      </c>
      <c r="E29" s="3">
        <f t="shared" si="2"/>
        <v>0</v>
      </c>
      <c r="F29" s="3">
        <f t="shared" si="3"/>
        <v>0</v>
      </c>
      <c r="G29" s="3">
        <f t="shared" si="4"/>
        <v>1</v>
      </c>
      <c r="H29" s="10">
        <f t="shared" si="5"/>
        <v>0</v>
      </c>
      <c r="I29" s="9">
        <f t="shared" si="6"/>
        <v>0</v>
      </c>
      <c r="J29" s="3">
        <f t="shared" si="7"/>
        <v>0</v>
      </c>
      <c r="K29" s="3">
        <f t="shared" si="8"/>
        <v>1</v>
      </c>
      <c r="L29" s="3">
        <f t="shared" si="9"/>
        <v>0</v>
      </c>
      <c r="M29" s="10">
        <f t="shared" si="10"/>
        <v>0</v>
      </c>
      <c r="N29" s="11">
        <f t="shared" si="11"/>
        <v>0</v>
      </c>
    </row>
    <row r="30" spans="1:23" x14ac:dyDescent="0.3">
      <c r="A30" s="3">
        <f t="shared" si="0"/>
        <v>28</v>
      </c>
      <c r="B30" s="3" t="s">
        <v>16</v>
      </c>
      <c r="C30" s="3" t="s">
        <v>4</v>
      </c>
      <c r="D30" s="9">
        <f t="shared" si="1"/>
        <v>0</v>
      </c>
      <c r="E30" s="3">
        <f t="shared" si="2"/>
        <v>0</v>
      </c>
      <c r="F30" s="3">
        <f t="shared" si="3"/>
        <v>0</v>
      </c>
      <c r="G30" s="3">
        <f t="shared" si="4"/>
        <v>1</v>
      </c>
      <c r="H30" s="10">
        <f t="shared" si="5"/>
        <v>0</v>
      </c>
      <c r="I30" s="9">
        <f t="shared" si="6"/>
        <v>0</v>
      </c>
      <c r="J30" s="3">
        <f t="shared" si="7"/>
        <v>0</v>
      </c>
      <c r="K30" s="3">
        <f t="shared" si="8"/>
        <v>1</v>
      </c>
      <c r="L30" s="3">
        <f t="shared" si="9"/>
        <v>0</v>
      </c>
      <c r="M30" s="10">
        <f t="shared" si="10"/>
        <v>0</v>
      </c>
      <c r="N30" s="11">
        <f t="shared" si="11"/>
        <v>0</v>
      </c>
    </row>
    <row r="31" spans="1:23" x14ac:dyDescent="0.3">
      <c r="A31" s="3">
        <f t="shared" si="0"/>
        <v>29</v>
      </c>
      <c r="B31" s="3" t="s">
        <v>3</v>
      </c>
      <c r="C31" s="3" t="s">
        <v>3</v>
      </c>
      <c r="D31" s="9">
        <f t="shared" si="1"/>
        <v>0</v>
      </c>
      <c r="E31" s="3">
        <f t="shared" si="2"/>
        <v>1</v>
      </c>
      <c r="F31" s="3">
        <f t="shared" si="3"/>
        <v>0</v>
      </c>
      <c r="G31" s="3">
        <f t="shared" si="4"/>
        <v>0</v>
      </c>
      <c r="H31" s="10">
        <f t="shared" si="5"/>
        <v>0</v>
      </c>
      <c r="I31" s="9">
        <f t="shared" si="6"/>
        <v>0</v>
      </c>
      <c r="J31" s="3">
        <f t="shared" si="7"/>
        <v>1</v>
      </c>
      <c r="K31" s="3">
        <f t="shared" si="8"/>
        <v>0</v>
      </c>
      <c r="L31" s="3">
        <f t="shared" si="9"/>
        <v>0</v>
      </c>
      <c r="M31" s="10">
        <f t="shared" si="10"/>
        <v>0</v>
      </c>
      <c r="N31" s="11">
        <f t="shared" si="11"/>
        <v>0</v>
      </c>
    </row>
    <row r="32" spans="1:23" x14ac:dyDescent="0.3">
      <c r="A32" s="3">
        <f t="shared" si="0"/>
        <v>30</v>
      </c>
      <c r="B32" s="3" t="s">
        <v>16</v>
      </c>
      <c r="C32" s="3" t="s">
        <v>4</v>
      </c>
      <c r="D32" s="9">
        <f t="shared" si="1"/>
        <v>0</v>
      </c>
      <c r="E32" s="3">
        <f t="shared" si="2"/>
        <v>0</v>
      </c>
      <c r="F32" s="3">
        <f t="shared" si="3"/>
        <v>0</v>
      </c>
      <c r="G32" s="3">
        <f t="shared" si="4"/>
        <v>1</v>
      </c>
      <c r="H32" s="10">
        <f t="shared" si="5"/>
        <v>0</v>
      </c>
      <c r="I32" s="9">
        <f t="shared" si="6"/>
        <v>0</v>
      </c>
      <c r="J32" s="3">
        <f t="shared" si="7"/>
        <v>0</v>
      </c>
      <c r="K32" s="3">
        <f t="shared" si="8"/>
        <v>1</v>
      </c>
      <c r="L32" s="3">
        <f t="shared" si="9"/>
        <v>0</v>
      </c>
      <c r="M32" s="10">
        <f t="shared" si="10"/>
        <v>0</v>
      </c>
      <c r="N32" s="11">
        <f t="shared" si="11"/>
        <v>0</v>
      </c>
    </row>
    <row r="33" spans="1:14" x14ac:dyDescent="0.3">
      <c r="A33" s="3">
        <f t="shared" si="0"/>
        <v>31</v>
      </c>
      <c r="B33" s="3" t="s">
        <v>3</v>
      </c>
      <c r="C33" s="3" t="s">
        <v>19</v>
      </c>
      <c r="D33" s="9">
        <f t="shared" si="1"/>
        <v>0</v>
      </c>
      <c r="E33" s="3">
        <f t="shared" si="2"/>
        <v>1</v>
      </c>
      <c r="F33" s="3">
        <f t="shared" si="3"/>
        <v>0</v>
      </c>
      <c r="G33" s="3">
        <f t="shared" si="4"/>
        <v>0</v>
      </c>
      <c r="H33" s="10">
        <f t="shared" si="5"/>
        <v>0</v>
      </c>
      <c r="I33" s="9">
        <f t="shared" si="6"/>
        <v>0</v>
      </c>
      <c r="J33" s="3">
        <f t="shared" si="7"/>
        <v>0</v>
      </c>
      <c r="K33" s="3">
        <f t="shared" si="8"/>
        <v>0</v>
      </c>
      <c r="L33" s="3">
        <f t="shared" si="9"/>
        <v>0</v>
      </c>
      <c r="M33" s="10">
        <f t="shared" si="10"/>
        <v>0</v>
      </c>
      <c r="N33" s="11">
        <f t="shared" si="11"/>
        <v>1</v>
      </c>
    </row>
    <row r="34" spans="1:14" x14ac:dyDescent="0.3">
      <c r="A34" s="3">
        <f t="shared" si="0"/>
        <v>32</v>
      </c>
      <c r="B34" s="3" t="s">
        <v>3</v>
      </c>
      <c r="C34" s="3" t="s">
        <v>19</v>
      </c>
      <c r="D34" s="9">
        <f t="shared" si="1"/>
        <v>0</v>
      </c>
      <c r="E34" s="3">
        <f t="shared" si="2"/>
        <v>1</v>
      </c>
      <c r="F34" s="3">
        <f t="shared" si="3"/>
        <v>0</v>
      </c>
      <c r="G34" s="3">
        <f t="shared" si="4"/>
        <v>0</v>
      </c>
      <c r="H34" s="10">
        <f t="shared" si="5"/>
        <v>0</v>
      </c>
      <c r="I34" s="9">
        <f t="shared" si="6"/>
        <v>0</v>
      </c>
      <c r="J34" s="3">
        <f t="shared" si="7"/>
        <v>0</v>
      </c>
      <c r="K34" s="3">
        <f t="shared" si="8"/>
        <v>0</v>
      </c>
      <c r="L34" s="3">
        <f t="shared" si="9"/>
        <v>0</v>
      </c>
      <c r="M34" s="10">
        <f t="shared" si="10"/>
        <v>0</v>
      </c>
      <c r="N34" s="11">
        <f t="shared" si="11"/>
        <v>1</v>
      </c>
    </row>
    <row r="35" spans="1:14" x14ac:dyDescent="0.3">
      <c r="A35" s="3">
        <f t="shared" si="0"/>
        <v>33</v>
      </c>
      <c r="B35" s="3" t="s">
        <v>16</v>
      </c>
      <c r="C35" s="3" t="s">
        <v>19</v>
      </c>
      <c r="D35" s="9">
        <f t="shared" si="1"/>
        <v>0</v>
      </c>
      <c r="E35" s="3">
        <f t="shared" si="2"/>
        <v>0</v>
      </c>
      <c r="F35" s="3">
        <f t="shared" si="3"/>
        <v>0</v>
      </c>
      <c r="G35" s="3">
        <f t="shared" si="4"/>
        <v>1</v>
      </c>
      <c r="H35" s="10">
        <f t="shared" si="5"/>
        <v>0</v>
      </c>
      <c r="I35" s="9">
        <f t="shared" si="6"/>
        <v>0</v>
      </c>
      <c r="J35" s="3">
        <f t="shared" si="7"/>
        <v>0</v>
      </c>
      <c r="K35" s="3">
        <f t="shared" si="8"/>
        <v>0</v>
      </c>
      <c r="L35" s="3">
        <f t="shared" si="9"/>
        <v>0</v>
      </c>
      <c r="M35" s="10">
        <f t="shared" si="10"/>
        <v>0</v>
      </c>
      <c r="N35" s="11">
        <f t="shared" si="11"/>
        <v>1</v>
      </c>
    </row>
    <row r="36" spans="1:14" x14ac:dyDescent="0.3">
      <c r="A36" s="3">
        <f t="shared" si="0"/>
        <v>34</v>
      </c>
      <c r="B36" s="3" t="s">
        <v>16</v>
      </c>
      <c r="C36" s="3" t="s">
        <v>19</v>
      </c>
      <c r="D36" s="9">
        <f t="shared" si="1"/>
        <v>0</v>
      </c>
      <c r="E36" s="3">
        <f t="shared" si="2"/>
        <v>0</v>
      </c>
      <c r="F36" s="3">
        <f t="shared" si="3"/>
        <v>0</v>
      </c>
      <c r="G36" s="3">
        <f t="shared" si="4"/>
        <v>1</v>
      </c>
      <c r="H36" s="10">
        <f t="shared" si="5"/>
        <v>0</v>
      </c>
      <c r="I36" s="9">
        <f t="shared" si="6"/>
        <v>0</v>
      </c>
      <c r="J36" s="3">
        <f t="shared" si="7"/>
        <v>0</v>
      </c>
      <c r="K36" s="3">
        <f t="shared" si="8"/>
        <v>0</v>
      </c>
      <c r="L36" s="3">
        <f t="shared" si="9"/>
        <v>0</v>
      </c>
      <c r="M36" s="10">
        <f t="shared" si="10"/>
        <v>0</v>
      </c>
      <c r="N36" s="11">
        <f t="shared" si="11"/>
        <v>1</v>
      </c>
    </row>
    <row r="37" spans="1:14" x14ac:dyDescent="0.3">
      <c r="A37" s="3">
        <f t="shared" si="0"/>
        <v>35</v>
      </c>
      <c r="B37" s="3" t="s">
        <v>3</v>
      </c>
      <c r="C37" s="3" t="s">
        <v>19</v>
      </c>
      <c r="D37" s="9">
        <f t="shared" si="1"/>
        <v>0</v>
      </c>
      <c r="E37" s="3">
        <f t="shared" si="2"/>
        <v>1</v>
      </c>
      <c r="F37" s="3">
        <f t="shared" si="3"/>
        <v>0</v>
      </c>
      <c r="G37" s="3">
        <f t="shared" si="4"/>
        <v>0</v>
      </c>
      <c r="H37" s="10">
        <f t="shared" si="5"/>
        <v>0</v>
      </c>
      <c r="I37" s="9">
        <f t="shared" si="6"/>
        <v>0</v>
      </c>
      <c r="J37" s="3">
        <f t="shared" si="7"/>
        <v>0</v>
      </c>
      <c r="K37" s="3">
        <f t="shared" si="8"/>
        <v>0</v>
      </c>
      <c r="L37" s="3">
        <f t="shared" si="9"/>
        <v>0</v>
      </c>
      <c r="M37" s="10">
        <f t="shared" si="10"/>
        <v>0</v>
      </c>
      <c r="N37" s="11">
        <f t="shared" si="11"/>
        <v>1</v>
      </c>
    </row>
    <row r="38" spans="1:14" x14ac:dyDescent="0.3">
      <c r="A38" s="3">
        <f t="shared" si="0"/>
        <v>36</v>
      </c>
      <c r="B38" s="3" t="s">
        <v>16</v>
      </c>
      <c r="C38" s="3" t="s">
        <v>19</v>
      </c>
      <c r="D38" s="9">
        <f t="shared" si="1"/>
        <v>0</v>
      </c>
      <c r="E38" s="3">
        <f t="shared" si="2"/>
        <v>0</v>
      </c>
      <c r="F38" s="3">
        <f t="shared" si="3"/>
        <v>0</v>
      </c>
      <c r="G38" s="3">
        <f t="shared" si="4"/>
        <v>1</v>
      </c>
      <c r="H38" s="10">
        <f t="shared" si="5"/>
        <v>0</v>
      </c>
      <c r="I38" s="9">
        <f t="shared" si="6"/>
        <v>0</v>
      </c>
      <c r="J38" s="3">
        <f t="shared" si="7"/>
        <v>0</v>
      </c>
      <c r="K38" s="3">
        <f t="shared" si="8"/>
        <v>0</v>
      </c>
      <c r="L38" s="3">
        <f t="shared" si="9"/>
        <v>0</v>
      </c>
      <c r="M38" s="10">
        <f t="shared" si="10"/>
        <v>0</v>
      </c>
      <c r="N38" s="11">
        <f t="shared" si="11"/>
        <v>1</v>
      </c>
    </row>
    <row r="39" spans="1:14" x14ac:dyDescent="0.3">
      <c r="A39" s="3">
        <f t="shared" si="0"/>
        <v>37</v>
      </c>
      <c r="B39" s="3" t="s">
        <v>16</v>
      </c>
      <c r="C39" s="3" t="s">
        <v>19</v>
      </c>
      <c r="D39" s="9">
        <f t="shared" si="1"/>
        <v>0</v>
      </c>
      <c r="E39" s="3">
        <f t="shared" si="2"/>
        <v>0</v>
      </c>
      <c r="F39" s="3">
        <f t="shared" si="3"/>
        <v>0</v>
      </c>
      <c r="G39" s="3">
        <f t="shared" si="4"/>
        <v>1</v>
      </c>
      <c r="H39" s="10">
        <f t="shared" si="5"/>
        <v>0</v>
      </c>
      <c r="I39" s="9">
        <f t="shared" si="6"/>
        <v>0</v>
      </c>
      <c r="J39" s="3">
        <f t="shared" si="7"/>
        <v>0</v>
      </c>
      <c r="K39" s="3">
        <f t="shared" si="8"/>
        <v>0</v>
      </c>
      <c r="L39" s="3">
        <f t="shared" si="9"/>
        <v>0</v>
      </c>
      <c r="M39" s="10">
        <f t="shared" si="10"/>
        <v>0</v>
      </c>
      <c r="N39" s="11">
        <f t="shared" si="11"/>
        <v>1</v>
      </c>
    </row>
    <row r="40" spans="1:14" x14ac:dyDescent="0.3">
      <c r="A40" s="3">
        <f t="shared" si="0"/>
        <v>38</v>
      </c>
      <c r="B40" s="3" t="s">
        <v>4</v>
      </c>
      <c r="C40" s="3" t="s">
        <v>19</v>
      </c>
      <c r="D40" s="9">
        <f t="shared" si="1"/>
        <v>0</v>
      </c>
      <c r="E40" s="3">
        <f t="shared" si="2"/>
        <v>0</v>
      </c>
      <c r="F40" s="3">
        <f t="shared" si="3"/>
        <v>1</v>
      </c>
      <c r="G40" s="3">
        <f t="shared" si="4"/>
        <v>0</v>
      </c>
      <c r="H40" s="10">
        <f t="shared" si="5"/>
        <v>0</v>
      </c>
      <c r="I40" s="9">
        <f t="shared" si="6"/>
        <v>0</v>
      </c>
      <c r="J40" s="3">
        <f t="shared" si="7"/>
        <v>0</v>
      </c>
      <c r="K40" s="3">
        <f t="shared" si="8"/>
        <v>0</v>
      </c>
      <c r="L40" s="3">
        <f t="shared" si="9"/>
        <v>0</v>
      </c>
      <c r="M40" s="10">
        <f t="shared" si="10"/>
        <v>0</v>
      </c>
      <c r="N40" s="11">
        <f t="shared" si="11"/>
        <v>1</v>
      </c>
    </row>
    <row r="41" spans="1:14" x14ac:dyDescent="0.3">
      <c r="A41" s="3">
        <f t="shared" si="0"/>
        <v>39</v>
      </c>
      <c r="B41" s="3" t="s">
        <v>4</v>
      </c>
      <c r="C41" s="3" t="s">
        <v>19</v>
      </c>
      <c r="D41" s="9">
        <f t="shared" si="1"/>
        <v>0</v>
      </c>
      <c r="E41" s="3">
        <f t="shared" si="2"/>
        <v>0</v>
      </c>
      <c r="F41" s="3">
        <f t="shared" si="3"/>
        <v>1</v>
      </c>
      <c r="G41" s="3">
        <f t="shared" si="4"/>
        <v>0</v>
      </c>
      <c r="H41" s="10">
        <f t="shared" si="5"/>
        <v>0</v>
      </c>
      <c r="I41" s="9">
        <f t="shared" si="6"/>
        <v>0</v>
      </c>
      <c r="J41" s="3">
        <f t="shared" si="7"/>
        <v>0</v>
      </c>
      <c r="K41" s="3">
        <f t="shared" si="8"/>
        <v>0</v>
      </c>
      <c r="L41" s="3">
        <f t="shared" si="9"/>
        <v>0</v>
      </c>
      <c r="M41" s="10">
        <f t="shared" si="10"/>
        <v>0</v>
      </c>
      <c r="N41" s="11">
        <f t="shared" si="11"/>
        <v>1</v>
      </c>
    </row>
    <row r="42" spans="1:14" x14ac:dyDescent="0.3">
      <c r="A42" s="3">
        <f t="shared" si="0"/>
        <v>40</v>
      </c>
      <c r="B42" s="3" t="s">
        <v>16</v>
      </c>
      <c r="C42" s="3" t="s">
        <v>19</v>
      </c>
      <c r="D42" s="9">
        <f t="shared" si="1"/>
        <v>0</v>
      </c>
      <c r="E42" s="3">
        <f t="shared" si="2"/>
        <v>0</v>
      </c>
      <c r="F42" s="3">
        <f t="shared" si="3"/>
        <v>0</v>
      </c>
      <c r="G42" s="3">
        <f t="shared" si="4"/>
        <v>1</v>
      </c>
      <c r="H42" s="10">
        <f t="shared" si="5"/>
        <v>0</v>
      </c>
      <c r="I42" s="9">
        <f t="shared" si="6"/>
        <v>0</v>
      </c>
      <c r="J42" s="3">
        <f t="shared" si="7"/>
        <v>0</v>
      </c>
      <c r="K42" s="3">
        <f t="shared" si="8"/>
        <v>0</v>
      </c>
      <c r="L42" s="3">
        <f t="shared" si="9"/>
        <v>0</v>
      </c>
      <c r="M42" s="10">
        <f t="shared" si="10"/>
        <v>0</v>
      </c>
      <c r="N42" s="11">
        <f t="shared" si="11"/>
        <v>1</v>
      </c>
    </row>
    <row r="43" spans="1:14" x14ac:dyDescent="0.3">
      <c r="A43" s="3">
        <f t="shared" si="0"/>
        <v>41</v>
      </c>
      <c r="B43" s="3" t="s">
        <v>17</v>
      </c>
      <c r="C43" s="3" t="s">
        <v>17</v>
      </c>
      <c r="D43" s="9">
        <f t="shared" si="1"/>
        <v>0</v>
      </c>
      <c r="E43" s="3">
        <f t="shared" si="2"/>
        <v>0</v>
      </c>
      <c r="F43" s="3">
        <f t="shared" si="3"/>
        <v>0</v>
      </c>
      <c r="G43" s="3">
        <f t="shared" si="4"/>
        <v>0</v>
      </c>
      <c r="H43" s="10">
        <f t="shared" si="5"/>
        <v>1</v>
      </c>
      <c r="I43" s="9">
        <f t="shared" si="6"/>
        <v>0</v>
      </c>
      <c r="J43" s="3">
        <f t="shared" si="7"/>
        <v>0</v>
      </c>
      <c r="K43" s="3">
        <f t="shared" si="8"/>
        <v>0</v>
      </c>
      <c r="L43" s="3">
        <f t="shared" si="9"/>
        <v>0</v>
      </c>
      <c r="M43" s="10">
        <f t="shared" si="10"/>
        <v>1</v>
      </c>
      <c r="N43" s="11">
        <f t="shared" si="11"/>
        <v>0</v>
      </c>
    </row>
    <row r="44" spans="1:14" x14ac:dyDescent="0.3">
      <c r="A44" s="3">
        <f t="shared" si="0"/>
        <v>42</v>
      </c>
      <c r="B44" s="3" t="s">
        <v>3</v>
      </c>
      <c r="C44" s="3" t="s">
        <v>3</v>
      </c>
      <c r="D44" s="9">
        <f t="shared" si="1"/>
        <v>0</v>
      </c>
      <c r="E44" s="3">
        <f t="shared" si="2"/>
        <v>1</v>
      </c>
      <c r="F44" s="3">
        <f t="shared" si="3"/>
        <v>0</v>
      </c>
      <c r="G44" s="3">
        <f t="shared" si="4"/>
        <v>0</v>
      </c>
      <c r="H44" s="10">
        <f t="shared" si="5"/>
        <v>0</v>
      </c>
      <c r="I44" s="9">
        <f t="shared" si="6"/>
        <v>0</v>
      </c>
      <c r="J44" s="3">
        <f t="shared" si="7"/>
        <v>1</v>
      </c>
      <c r="K44" s="3">
        <f t="shared" si="8"/>
        <v>0</v>
      </c>
      <c r="L44" s="3">
        <f t="shared" si="9"/>
        <v>0</v>
      </c>
      <c r="M44" s="10">
        <f t="shared" si="10"/>
        <v>0</v>
      </c>
      <c r="N44" s="11">
        <f t="shared" si="11"/>
        <v>0</v>
      </c>
    </row>
    <row r="45" spans="1:14" x14ac:dyDescent="0.3">
      <c r="A45" s="3">
        <f t="shared" si="0"/>
        <v>43</v>
      </c>
      <c r="B45" s="3" t="s">
        <v>16</v>
      </c>
      <c r="C45" s="3" t="s">
        <v>4</v>
      </c>
      <c r="D45" s="9">
        <f t="shared" si="1"/>
        <v>0</v>
      </c>
      <c r="E45" s="3">
        <f t="shared" si="2"/>
        <v>0</v>
      </c>
      <c r="F45" s="3">
        <f t="shared" si="3"/>
        <v>0</v>
      </c>
      <c r="G45" s="3">
        <f t="shared" si="4"/>
        <v>1</v>
      </c>
      <c r="H45" s="10">
        <f t="shared" si="5"/>
        <v>0</v>
      </c>
      <c r="I45" s="9">
        <f t="shared" si="6"/>
        <v>0</v>
      </c>
      <c r="J45" s="3">
        <f t="shared" si="7"/>
        <v>0</v>
      </c>
      <c r="K45" s="3">
        <f t="shared" si="8"/>
        <v>1</v>
      </c>
      <c r="L45" s="3">
        <f t="shared" si="9"/>
        <v>0</v>
      </c>
      <c r="M45" s="10">
        <f t="shared" si="10"/>
        <v>0</v>
      </c>
      <c r="N45" s="11">
        <f t="shared" si="11"/>
        <v>0</v>
      </c>
    </row>
    <row r="46" spans="1:14" x14ac:dyDescent="0.3">
      <c r="A46" s="3">
        <f t="shared" si="0"/>
        <v>44</v>
      </c>
      <c r="B46" s="3" t="s">
        <v>16</v>
      </c>
      <c r="C46" s="3" t="s">
        <v>4</v>
      </c>
      <c r="D46" s="9">
        <f t="shared" si="1"/>
        <v>0</v>
      </c>
      <c r="E46" s="3">
        <f t="shared" si="2"/>
        <v>0</v>
      </c>
      <c r="F46" s="3">
        <f t="shared" si="3"/>
        <v>0</v>
      </c>
      <c r="G46" s="3">
        <f t="shared" si="4"/>
        <v>1</v>
      </c>
      <c r="H46" s="10">
        <f t="shared" si="5"/>
        <v>0</v>
      </c>
      <c r="I46" s="9">
        <f t="shared" si="6"/>
        <v>0</v>
      </c>
      <c r="J46" s="3">
        <f t="shared" si="7"/>
        <v>0</v>
      </c>
      <c r="K46" s="3">
        <f t="shared" si="8"/>
        <v>1</v>
      </c>
      <c r="L46" s="3">
        <f t="shared" si="9"/>
        <v>0</v>
      </c>
      <c r="M46" s="10">
        <f t="shared" si="10"/>
        <v>0</v>
      </c>
      <c r="N46" s="11">
        <f t="shared" si="11"/>
        <v>0</v>
      </c>
    </row>
    <row r="47" spans="1:14" x14ac:dyDescent="0.3">
      <c r="A47" s="3">
        <f t="shared" si="0"/>
        <v>45</v>
      </c>
      <c r="B47" s="3" t="s">
        <v>3</v>
      </c>
      <c r="C47" s="3" t="s">
        <v>3</v>
      </c>
      <c r="D47" s="9">
        <f t="shared" si="1"/>
        <v>0</v>
      </c>
      <c r="E47" s="3">
        <f t="shared" si="2"/>
        <v>1</v>
      </c>
      <c r="F47" s="3">
        <f t="shared" si="3"/>
        <v>0</v>
      </c>
      <c r="G47" s="3">
        <f t="shared" si="4"/>
        <v>0</v>
      </c>
      <c r="H47" s="10">
        <f t="shared" si="5"/>
        <v>0</v>
      </c>
      <c r="I47" s="9">
        <f t="shared" si="6"/>
        <v>0</v>
      </c>
      <c r="J47" s="3">
        <f t="shared" si="7"/>
        <v>1</v>
      </c>
      <c r="K47" s="3">
        <f t="shared" si="8"/>
        <v>0</v>
      </c>
      <c r="L47" s="3">
        <f t="shared" si="9"/>
        <v>0</v>
      </c>
      <c r="M47" s="10">
        <f t="shared" si="10"/>
        <v>0</v>
      </c>
      <c r="N47" s="11">
        <f t="shared" si="11"/>
        <v>0</v>
      </c>
    </row>
    <row r="48" spans="1:14" x14ac:dyDescent="0.3">
      <c r="A48" s="3">
        <f t="shared" si="0"/>
        <v>46</v>
      </c>
      <c r="B48" s="3" t="s">
        <v>16</v>
      </c>
      <c r="C48" s="3" t="s">
        <v>4</v>
      </c>
      <c r="D48" s="9">
        <f t="shared" si="1"/>
        <v>0</v>
      </c>
      <c r="E48" s="3">
        <f t="shared" si="2"/>
        <v>0</v>
      </c>
      <c r="F48" s="3">
        <f t="shared" si="3"/>
        <v>0</v>
      </c>
      <c r="G48" s="3">
        <f t="shared" si="4"/>
        <v>1</v>
      </c>
      <c r="H48" s="10">
        <f t="shared" si="5"/>
        <v>0</v>
      </c>
      <c r="I48" s="9">
        <f t="shared" si="6"/>
        <v>0</v>
      </c>
      <c r="J48" s="3">
        <f t="shared" si="7"/>
        <v>0</v>
      </c>
      <c r="K48" s="3">
        <f t="shared" si="8"/>
        <v>1</v>
      </c>
      <c r="L48" s="3">
        <f t="shared" si="9"/>
        <v>0</v>
      </c>
      <c r="M48" s="10">
        <f t="shared" si="10"/>
        <v>0</v>
      </c>
      <c r="N48" s="11">
        <f t="shared" si="11"/>
        <v>0</v>
      </c>
    </row>
    <row r="49" spans="1:14" x14ac:dyDescent="0.3">
      <c r="A49" s="3">
        <f t="shared" si="0"/>
        <v>47</v>
      </c>
      <c r="B49" s="3" t="s">
        <v>4</v>
      </c>
      <c r="C49" s="3" t="s">
        <v>4</v>
      </c>
      <c r="D49" s="9">
        <f t="shared" si="1"/>
        <v>0</v>
      </c>
      <c r="E49" s="3">
        <f t="shared" si="2"/>
        <v>0</v>
      </c>
      <c r="F49" s="3">
        <f t="shared" si="3"/>
        <v>1</v>
      </c>
      <c r="G49" s="3">
        <f t="shared" si="4"/>
        <v>0</v>
      </c>
      <c r="H49" s="10">
        <f t="shared" si="5"/>
        <v>0</v>
      </c>
      <c r="I49" s="9">
        <f t="shared" si="6"/>
        <v>0</v>
      </c>
      <c r="J49" s="3">
        <f t="shared" si="7"/>
        <v>0</v>
      </c>
      <c r="K49" s="3">
        <f t="shared" si="8"/>
        <v>1</v>
      </c>
      <c r="L49" s="3">
        <f t="shared" si="9"/>
        <v>0</v>
      </c>
      <c r="M49" s="10">
        <f t="shared" si="10"/>
        <v>0</v>
      </c>
      <c r="N49" s="11">
        <f t="shared" si="11"/>
        <v>0</v>
      </c>
    </row>
    <row r="50" spans="1:14" x14ac:dyDescent="0.3">
      <c r="A50" s="3">
        <f t="shared" si="0"/>
        <v>48</v>
      </c>
      <c r="B50" s="3" t="s">
        <v>8</v>
      </c>
      <c r="C50" s="3" t="s">
        <v>8</v>
      </c>
      <c r="D50" s="9">
        <f t="shared" si="1"/>
        <v>1</v>
      </c>
      <c r="E50" s="3">
        <f t="shared" si="2"/>
        <v>0</v>
      </c>
      <c r="F50" s="3">
        <f t="shared" si="3"/>
        <v>0</v>
      </c>
      <c r="G50" s="3">
        <f t="shared" si="4"/>
        <v>0</v>
      </c>
      <c r="H50" s="10">
        <f t="shared" si="5"/>
        <v>0</v>
      </c>
      <c r="I50" s="9">
        <f t="shared" si="6"/>
        <v>1</v>
      </c>
      <c r="J50" s="3">
        <f t="shared" si="7"/>
        <v>0</v>
      </c>
      <c r="K50" s="3">
        <f t="shared" si="8"/>
        <v>0</v>
      </c>
      <c r="L50" s="3">
        <f t="shared" si="9"/>
        <v>0</v>
      </c>
      <c r="M50" s="10">
        <f t="shared" si="10"/>
        <v>0</v>
      </c>
      <c r="N50" s="11">
        <f t="shared" si="11"/>
        <v>0</v>
      </c>
    </row>
    <row r="51" spans="1:14" x14ac:dyDescent="0.3">
      <c r="A51" s="3">
        <f t="shared" si="0"/>
        <v>49</v>
      </c>
      <c r="B51" s="3" t="s">
        <v>8</v>
      </c>
      <c r="C51" s="3" t="s">
        <v>3</v>
      </c>
      <c r="D51" s="9">
        <f t="shared" si="1"/>
        <v>1</v>
      </c>
      <c r="E51" s="3">
        <f t="shared" si="2"/>
        <v>0</v>
      </c>
      <c r="F51" s="3">
        <f t="shared" si="3"/>
        <v>0</v>
      </c>
      <c r="G51" s="3">
        <f t="shared" si="4"/>
        <v>0</v>
      </c>
      <c r="H51" s="10">
        <f t="shared" si="5"/>
        <v>0</v>
      </c>
      <c r="I51" s="9">
        <f t="shared" si="6"/>
        <v>0</v>
      </c>
      <c r="J51" s="3">
        <f t="shared" si="7"/>
        <v>1</v>
      </c>
      <c r="K51" s="3">
        <f t="shared" si="8"/>
        <v>0</v>
      </c>
      <c r="L51" s="3">
        <f t="shared" si="9"/>
        <v>0</v>
      </c>
      <c r="M51" s="10">
        <f t="shared" si="10"/>
        <v>0</v>
      </c>
      <c r="N51" s="11">
        <f t="shared" si="11"/>
        <v>0</v>
      </c>
    </row>
    <row r="52" spans="1:14" x14ac:dyDescent="0.3">
      <c r="A52" s="3">
        <f t="shared" si="0"/>
        <v>50</v>
      </c>
      <c r="B52" s="3" t="s">
        <v>16</v>
      </c>
      <c r="C52" s="3" t="s">
        <v>4</v>
      </c>
      <c r="D52" s="9">
        <f t="shared" si="1"/>
        <v>0</v>
      </c>
      <c r="E52" s="3">
        <f t="shared" si="2"/>
        <v>0</v>
      </c>
      <c r="F52" s="3">
        <f t="shared" si="3"/>
        <v>0</v>
      </c>
      <c r="G52" s="3">
        <f t="shared" si="4"/>
        <v>1</v>
      </c>
      <c r="H52" s="10">
        <f t="shared" si="5"/>
        <v>0</v>
      </c>
      <c r="I52" s="9">
        <f t="shared" si="6"/>
        <v>0</v>
      </c>
      <c r="J52" s="3">
        <f t="shared" si="7"/>
        <v>0</v>
      </c>
      <c r="K52" s="3">
        <f t="shared" si="8"/>
        <v>1</v>
      </c>
      <c r="L52" s="3">
        <f t="shared" si="9"/>
        <v>0</v>
      </c>
      <c r="M52" s="10">
        <f t="shared" si="10"/>
        <v>0</v>
      </c>
      <c r="N52" s="11">
        <f t="shared" si="11"/>
        <v>0</v>
      </c>
    </row>
    <row r="53" spans="1:14" x14ac:dyDescent="0.3">
      <c r="A53" s="3">
        <f t="shared" si="0"/>
        <v>51</v>
      </c>
      <c r="B53" s="3" t="s">
        <v>16</v>
      </c>
      <c r="C53" s="3" t="s">
        <v>4</v>
      </c>
      <c r="D53" s="9">
        <f t="shared" si="1"/>
        <v>0</v>
      </c>
      <c r="E53" s="3">
        <f t="shared" si="2"/>
        <v>0</v>
      </c>
      <c r="F53" s="3">
        <f t="shared" si="3"/>
        <v>0</v>
      </c>
      <c r="G53" s="3">
        <f t="shared" si="4"/>
        <v>1</v>
      </c>
      <c r="H53" s="10">
        <f t="shared" si="5"/>
        <v>0</v>
      </c>
      <c r="I53" s="9">
        <f t="shared" si="6"/>
        <v>0</v>
      </c>
      <c r="J53" s="3">
        <f t="shared" si="7"/>
        <v>0</v>
      </c>
      <c r="K53" s="3">
        <f t="shared" si="8"/>
        <v>1</v>
      </c>
      <c r="L53" s="3">
        <f t="shared" si="9"/>
        <v>0</v>
      </c>
      <c r="M53" s="10">
        <f t="shared" si="10"/>
        <v>0</v>
      </c>
      <c r="N53" s="11">
        <f t="shared" si="11"/>
        <v>0</v>
      </c>
    </row>
    <row r="54" spans="1:14" x14ac:dyDescent="0.3">
      <c r="A54" s="3">
        <f t="shared" si="0"/>
        <v>52</v>
      </c>
      <c r="B54" s="3" t="s">
        <v>16</v>
      </c>
      <c r="C54" s="3" t="s">
        <v>19</v>
      </c>
      <c r="D54" s="9">
        <f t="shared" si="1"/>
        <v>0</v>
      </c>
      <c r="E54" s="3">
        <f t="shared" si="2"/>
        <v>0</v>
      </c>
      <c r="F54" s="3">
        <f t="shared" si="3"/>
        <v>0</v>
      </c>
      <c r="G54" s="3">
        <f t="shared" si="4"/>
        <v>1</v>
      </c>
      <c r="H54" s="10">
        <f t="shared" si="5"/>
        <v>0</v>
      </c>
      <c r="I54" s="9">
        <f t="shared" si="6"/>
        <v>0</v>
      </c>
      <c r="J54" s="3">
        <f t="shared" si="7"/>
        <v>0</v>
      </c>
      <c r="K54" s="3">
        <f t="shared" si="8"/>
        <v>0</v>
      </c>
      <c r="L54" s="3">
        <f t="shared" si="9"/>
        <v>0</v>
      </c>
      <c r="M54" s="10">
        <f t="shared" si="10"/>
        <v>0</v>
      </c>
      <c r="N54" s="11">
        <f t="shared" si="11"/>
        <v>1</v>
      </c>
    </row>
    <row r="55" spans="1:14" x14ac:dyDescent="0.3">
      <c r="A55" s="3">
        <f t="shared" si="0"/>
        <v>53</v>
      </c>
      <c r="B55" s="3" t="s">
        <v>4</v>
      </c>
      <c r="C55" s="3" t="s">
        <v>19</v>
      </c>
      <c r="D55" s="9">
        <f t="shared" si="1"/>
        <v>0</v>
      </c>
      <c r="E55" s="3">
        <f t="shared" si="2"/>
        <v>0</v>
      </c>
      <c r="F55" s="3">
        <f t="shared" si="3"/>
        <v>1</v>
      </c>
      <c r="G55" s="3">
        <f t="shared" si="4"/>
        <v>0</v>
      </c>
      <c r="H55" s="10">
        <f t="shared" si="5"/>
        <v>0</v>
      </c>
      <c r="I55" s="9">
        <f t="shared" si="6"/>
        <v>0</v>
      </c>
      <c r="J55" s="3">
        <f t="shared" si="7"/>
        <v>0</v>
      </c>
      <c r="K55" s="3">
        <f t="shared" si="8"/>
        <v>0</v>
      </c>
      <c r="L55" s="3">
        <f t="shared" si="9"/>
        <v>0</v>
      </c>
      <c r="M55" s="10">
        <f t="shared" si="10"/>
        <v>0</v>
      </c>
      <c r="N55" s="11">
        <f t="shared" si="11"/>
        <v>1</v>
      </c>
    </row>
    <row r="56" spans="1:14" x14ac:dyDescent="0.3">
      <c r="A56" s="3">
        <f t="shared" si="0"/>
        <v>54</v>
      </c>
      <c r="B56" s="3" t="s">
        <v>16</v>
      </c>
      <c r="C56" s="3" t="s">
        <v>4</v>
      </c>
      <c r="D56" s="9">
        <f t="shared" si="1"/>
        <v>0</v>
      </c>
      <c r="E56" s="3">
        <f t="shared" si="2"/>
        <v>0</v>
      </c>
      <c r="F56" s="3">
        <f t="shared" si="3"/>
        <v>0</v>
      </c>
      <c r="G56" s="3">
        <f t="shared" si="4"/>
        <v>1</v>
      </c>
      <c r="H56" s="10">
        <f t="shared" si="5"/>
        <v>0</v>
      </c>
      <c r="I56" s="9">
        <f t="shared" si="6"/>
        <v>0</v>
      </c>
      <c r="J56" s="3">
        <f t="shared" si="7"/>
        <v>0</v>
      </c>
      <c r="K56" s="3">
        <f t="shared" si="8"/>
        <v>1</v>
      </c>
      <c r="L56" s="3">
        <f t="shared" si="9"/>
        <v>0</v>
      </c>
      <c r="M56" s="10">
        <f t="shared" si="10"/>
        <v>0</v>
      </c>
      <c r="N56" s="11">
        <f t="shared" si="11"/>
        <v>0</v>
      </c>
    </row>
    <row r="57" spans="1:14" x14ac:dyDescent="0.3">
      <c r="A57" s="3">
        <f t="shared" si="0"/>
        <v>55</v>
      </c>
      <c r="B57" s="3" t="s">
        <v>17</v>
      </c>
      <c r="C57" s="3" t="s">
        <v>17</v>
      </c>
      <c r="D57" s="9">
        <f t="shared" si="1"/>
        <v>0</v>
      </c>
      <c r="E57" s="3">
        <f t="shared" si="2"/>
        <v>0</v>
      </c>
      <c r="F57" s="3">
        <f t="shared" si="3"/>
        <v>0</v>
      </c>
      <c r="G57" s="3">
        <f t="shared" si="4"/>
        <v>0</v>
      </c>
      <c r="H57" s="10">
        <f t="shared" si="5"/>
        <v>1</v>
      </c>
      <c r="I57" s="9">
        <f t="shared" si="6"/>
        <v>0</v>
      </c>
      <c r="J57" s="3">
        <f t="shared" si="7"/>
        <v>0</v>
      </c>
      <c r="K57" s="3">
        <f t="shared" si="8"/>
        <v>0</v>
      </c>
      <c r="L57" s="3">
        <f t="shared" si="9"/>
        <v>0</v>
      </c>
      <c r="M57" s="10">
        <f t="shared" si="10"/>
        <v>1</v>
      </c>
      <c r="N57" s="11">
        <f t="shared" si="11"/>
        <v>0</v>
      </c>
    </row>
    <row r="58" spans="1:14" x14ac:dyDescent="0.3">
      <c r="A58" s="3">
        <f t="shared" si="0"/>
        <v>56</v>
      </c>
      <c r="B58" s="3" t="s">
        <v>3</v>
      </c>
      <c r="C58" s="3" t="s">
        <v>8</v>
      </c>
      <c r="D58" s="9">
        <f t="shared" si="1"/>
        <v>0</v>
      </c>
      <c r="E58" s="3">
        <f t="shared" si="2"/>
        <v>1</v>
      </c>
      <c r="F58" s="3">
        <f t="shared" si="3"/>
        <v>0</v>
      </c>
      <c r="G58" s="3">
        <f t="shared" si="4"/>
        <v>0</v>
      </c>
      <c r="H58" s="10">
        <f t="shared" si="5"/>
        <v>0</v>
      </c>
      <c r="I58" s="9">
        <f t="shared" si="6"/>
        <v>1</v>
      </c>
      <c r="J58" s="3">
        <f t="shared" si="7"/>
        <v>0</v>
      </c>
      <c r="K58" s="3">
        <f t="shared" si="8"/>
        <v>0</v>
      </c>
      <c r="L58" s="3">
        <f t="shared" si="9"/>
        <v>0</v>
      </c>
      <c r="M58" s="10">
        <f t="shared" si="10"/>
        <v>0</v>
      </c>
      <c r="N58" s="11">
        <f t="shared" si="11"/>
        <v>0</v>
      </c>
    </row>
    <row r="59" spans="1:14" x14ac:dyDescent="0.3">
      <c r="A59" s="3">
        <f t="shared" si="0"/>
        <v>57</v>
      </c>
      <c r="B59" s="3" t="s">
        <v>4</v>
      </c>
      <c r="C59" s="3" t="s">
        <v>4</v>
      </c>
      <c r="D59" s="9">
        <f t="shared" si="1"/>
        <v>0</v>
      </c>
      <c r="E59" s="3">
        <f t="shared" si="2"/>
        <v>0</v>
      </c>
      <c r="F59" s="3">
        <f t="shared" si="3"/>
        <v>1</v>
      </c>
      <c r="G59" s="3">
        <f t="shared" si="4"/>
        <v>0</v>
      </c>
      <c r="H59" s="10">
        <f t="shared" si="5"/>
        <v>0</v>
      </c>
      <c r="I59" s="9">
        <f t="shared" si="6"/>
        <v>0</v>
      </c>
      <c r="J59" s="3">
        <f t="shared" si="7"/>
        <v>0</v>
      </c>
      <c r="K59" s="3">
        <f t="shared" si="8"/>
        <v>1</v>
      </c>
      <c r="L59" s="3">
        <f t="shared" si="9"/>
        <v>0</v>
      </c>
      <c r="M59" s="10">
        <f t="shared" si="10"/>
        <v>0</v>
      </c>
      <c r="N59" s="11">
        <f t="shared" si="11"/>
        <v>0</v>
      </c>
    </row>
    <row r="60" spans="1:14" x14ac:dyDescent="0.3">
      <c r="A60" s="3">
        <f t="shared" si="0"/>
        <v>58</v>
      </c>
      <c r="B60" s="3" t="s">
        <v>16</v>
      </c>
      <c r="C60" s="3" t="s">
        <v>4</v>
      </c>
      <c r="D60" s="9">
        <f t="shared" si="1"/>
        <v>0</v>
      </c>
      <c r="E60" s="3">
        <f t="shared" si="2"/>
        <v>0</v>
      </c>
      <c r="F60" s="3">
        <f t="shared" si="3"/>
        <v>0</v>
      </c>
      <c r="G60" s="3">
        <f t="shared" si="4"/>
        <v>1</v>
      </c>
      <c r="H60" s="10">
        <f t="shared" si="5"/>
        <v>0</v>
      </c>
      <c r="I60" s="9">
        <f t="shared" si="6"/>
        <v>0</v>
      </c>
      <c r="J60" s="3">
        <f t="shared" si="7"/>
        <v>0</v>
      </c>
      <c r="K60" s="3">
        <f t="shared" si="8"/>
        <v>1</v>
      </c>
      <c r="L60" s="3">
        <f t="shared" si="9"/>
        <v>0</v>
      </c>
      <c r="M60" s="10">
        <f t="shared" si="10"/>
        <v>0</v>
      </c>
      <c r="N60" s="11">
        <f t="shared" si="11"/>
        <v>0</v>
      </c>
    </row>
    <row r="61" spans="1:14" x14ac:dyDescent="0.3">
      <c r="A61" s="3">
        <f t="shared" si="0"/>
        <v>59</v>
      </c>
      <c r="B61" s="3" t="s">
        <v>16</v>
      </c>
      <c r="C61" s="3" t="s">
        <v>4</v>
      </c>
      <c r="D61" s="9">
        <f t="shared" si="1"/>
        <v>0</v>
      </c>
      <c r="E61" s="3">
        <f t="shared" si="2"/>
        <v>0</v>
      </c>
      <c r="F61" s="3">
        <f t="shared" si="3"/>
        <v>0</v>
      </c>
      <c r="G61" s="3">
        <f t="shared" si="4"/>
        <v>1</v>
      </c>
      <c r="H61" s="10">
        <f t="shared" si="5"/>
        <v>0</v>
      </c>
      <c r="I61" s="9">
        <f t="shared" si="6"/>
        <v>0</v>
      </c>
      <c r="J61" s="3">
        <f t="shared" si="7"/>
        <v>0</v>
      </c>
      <c r="K61" s="3">
        <f t="shared" si="8"/>
        <v>1</v>
      </c>
      <c r="L61" s="3">
        <f t="shared" si="9"/>
        <v>0</v>
      </c>
      <c r="M61" s="10">
        <f t="shared" si="10"/>
        <v>0</v>
      </c>
      <c r="N61" s="11">
        <f t="shared" si="11"/>
        <v>0</v>
      </c>
    </row>
    <row r="62" spans="1:14" x14ac:dyDescent="0.3">
      <c r="A62" s="3">
        <f t="shared" si="0"/>
        <v>60</v>
      </c>
      <c r="B62" s="3" t="s">
        <v>8</v>
      </c>
      <c r="C62" s="3" t="s">
        <v>8</v>
      </c>
      <c r="D62" s="9">
        <f t="shared" si="1"/>
        <v>1</v>
      </c>
      <c r="E62" s="3">
        <f t="shared" si="2"/>
        <v>0</v>
      </c>
      <c r="F62" s="3">
        <f t="shared" si="3"/>
        <v>0</v>
      </c>
      <c r="G62" s="3">
        <f t="shared" si="4"/>
        <v>0</v>
      </c>
      <c r="H62" s="10">
        <f t="shared" si="5"/>
        <v>0</v>
      </c>
      <c r="I62" s="9">
        <f t="shared" si="6"/>
        <v>1</v>
      </c>
      <c r="J62" s="3">
        <f t="shared" si="7"/>
        <v>0</v>
      </c>
      <c r="K62" s="3">
        <f t="shared" si="8"/>
        <v>0</v>
      </c>
      <c r="L62" s="3">
        <f t="shared" si="9"/>
        <v>0</v>
      </c>
      <c r="M62" s="10">
        <f t="shared" si="10"/>
        <v>0</v>
      </c>
      <c r="N62" s="11">
        <f t="shared" si="11"/>
        <v>0</v>
      </c>
    </row>
    <row r="63" spans="1:14" x14ac:dyDescent="0.3">
      <c r="A63" s="3">
        <f t="shared" si="0"/>
        <v>61</v>
      </c>
      <c r="B63" s="3" t="s">
        <v>4</v>
      </c>
      <c r="C63" s="3" t="s">
        <v>4</v>
      </c>
      <c r="D63" s="9">
        <f t="shared" si="1"/>
        <v>0</v>
      </c>
      <c r="E63" s="3">
        <f t="shared" si="2"/>
        <v>0</v>
      </c>
      <c r="F63" s="3">
        <f t="shared" si="3"/>
        <v>1</v>
      </c>
      <c r="G63" s="3">
        <f t="shared" si="4"/>
        <v>0</v>
      </c>
      <c r="H63" s="10">
        <f t="shared" si="5"/>
        <v>0</v>
      </c>
      <c r="I63" s="9">
        <f t="shared" si="6"/>
        <v>0</v>
      </c>
      <c r="J63" s="3">
        <f t="shared" si="7"/>
        <v>0</v>
      </c>
      <c r="K63" s="3">
        <f t="shared" si="8"/>
        <v>1</v>
      </c>
      <c r="L63" s="3">
        <f t="shared" si="9"/>
        <v>0</v>
      </c>
      <c r="M63" s="10">
        <f t="shared" si="10"/>
        <v>0</v>
      </c>
      <c r="N63" s="11">
        <f t="shared" si="11"/>
        <v>0</v>
      </c>
    </row>
    <row r="64" spans="1:14" x14ac:dyDescent="0.3">
      <c r="A64" s="3">
        <f t="shared" si="0"/>
        <v>62</v>
      </c>
      <c r="B64" s="3" t="s">
        <v>4</v>
      </c>
      <c r="C64" s="3" t="s">
        <v>4</v>
      </c>
      <c r="D64" s="9">
        <f t="shared" si="1"/>
        <v>0</v>
      </c>
      <c r="E64" s="3">
        <f t="shared" si="2"/>
        <v>0</v>
      </c>
      <c r="F64" s="3">
        <f t="shared" si="3"/>
        <v>1</v>
      </c>
      <c r="G64" s="3">
        <f t="shared" si="4"/>
        <v>0</v>
      </c>
      <c r="H64" s="10">
        <f t="shared" si="5"/>
        <v>0</v>
      </c>
      <c r="I64" s="9">
        <f t="shared" si="6"/>
        <v>0</v>
      </c>
      <c r="J64" s="3">
        <f t="shared" si="7"/>
        <v>0</v>
      </c>
      <c r="K64" s="3">
        <f t="shared" si="8"/>
        <v>1</v>
      </c>
      <c r="L64" s="3">
        <f t="shared" si="9"/>
        <v>0</v>
      </c>
      <c r="M64" s="10">
        <f t="shared" si="10"/>
        <v>0</v>
      </c>
      <c r="N64" s="11">
        <f t="shared" si="11"/>
        <v>0</v>
      </c>
    </row>
    <row r="65" spans="1:14" x14ac:dyDescent="0.3">
      <c r="A65" s="3">
        <f t="shared" si="0"/>
        <v>63</v>
      </c>
      <c r="B65" s="3" t="s">
        <v>3</v>
      </c>
      <c r="C65" s="3" t="s">
        <v>19</v>
      </c>
      <c r="D65" s="9">
        <f t="shared" si="1"/>
        <v>0</v>
      </c>
      <c r="E65" s="3">
        <f t="shared" si="2"/>
        <v>1</v>
      </c>
      <c r="F65" s="3">
        <f t="shared" si="3"/>
        <v>0</v>
      </c>
      <c r="G65" s="3">
        <f t="shared" si="4"/>
        <v>0</v>
      </c>
      <c r="H65" s="10">
        <f t="shared" si="5"/>
        <v>0</v>
      </c>
      <c r="I65" s="9">
        <f t="shared" si="6"/>
        <v>0</v>
      </c>
      <c r="J65" s="3">
        <f t="shared" si="7"/>
        <v>0</v>
      </c>
      <c r="K65" s="3">
        <f t="shared" si="8"/>
        <v>0</v>
      </c>
      <c r="L65" s="3">
        <f t="shared" si="9"/>
        <v>0</v>
      </c>
      <c r="M65" s="10">
        <f t="shared" si="10"/>
        <v>0</v>
      </c>
      <c r="N65" s="11">
        <f t="shared" si="11"/>
        <v>1</v>
      </c>
    </row>
    <row r="66" spans="1:14" x14ac:dyDescent="0.3">
      <c r="A66" s="3">
        <f t="shared" si="0"/>
        <v>64</v>
      </c>
      <c r="B66" s="3" t="s">
        <v>16</v>
      </c>
      <c r="C66" s="3" t="s">
        <v>19</v>
      </c>
      <c r="D66" s="9">
        <f t="shared" si="1"/>
        <v>0</v>
      </c>
      <c r="E66" s="3">
        <f t="shared" si="2"/>
        <v>0</v>
      </c>
      <c r="F66" s="3">
        <f t="shared" si="3"/>
        <v>0</v>
      </c>
      <c r="G66" s="3">
        <f t="shared" si="4"/>
        <v>1</v>
      </c>
      <c r="H66" s="10">
        <f t="shared" si="5"/>
        <v>0</v>
      </c>
      <c r="I66" s="9">
        <f t="shared" si="6"/>
        <v>0</v>
      </c>
      <c r="J66" s="3">
        <f t="shared" si="7"/>
        <v>0</v>
      </c>
      <c r="K66" s="3">
        <f t="shared" si="8"/>
        <v>0</v>
      </c>
      <c r="L66" s="3">
        <f t="shared" si="9"/>
        <v>0</v>
      </c>
      <c r="M66" s="10">
        <f t="shared" si="10"/>
        <v>0</v>
      </c>
      <c r="N66" s="11">
        <f t="shared" si="11"/>
        <v>1</v>
      </c>
    </row>
    <row r="67" spans="1:14" x14ac:dyDescent="0.3">
      <c r="A67" s="3">
        <f t="shared" si="0"/>
        <v>65</v>
      </c>
      <c r="B67" s="3" t="s">
        <v>4</v>
      </c>
      <c r="C67" s="3" t="s">
        <v>19</v>
      </c>
      <c r="D67" s="9">
        <f t="shared" si="1"/>
        <v>0</v>
      </c>
      <c r="E67" s="3">
        <f t="shared" si="2"/>
        <v>0</v>
      </c>
      <c r="F67" s="3">
        <f t="shared" si="3"/>
        <v>1</v>
      </c>
      <c r="G67" s="3">
        <f t="shared" si="4"/>
        <v>0</v>
      </c>
      <c r="H67" s="10">
        <f t="shared" si="5"/>
        <v>0</v>
      </c>
      <c r="I67" s="9">
        <f t="shared" si="6"/>
        <v>0</v>
      </c>
      <c r="J67" s="3">
        <f t="shared" si="7"/>
        <v>0</v>
      </c>
      <c r="K67" s="3">
        <f t="shared" si="8"/>
        <v>0</v>
      </c>
      <c r="L67" s="3">
        <f t="shared" si="9"/>
        <v>0</v>
      </c>
      <c r="M67" s="10">
        <f t="shared" si="10"/>
        <v>0</v>
      </c>
      <c r="N67" s="11">
        <f t="shared" si="11"/>
        <v>1</v>
      </c>
    </row>
    <row r="68" spans="1:14" x14ac:dyDescent="0.3">
      <c r="A68" s="3">
        <f t="shared" ref="A68:A131" si="12">+A67+1</f>
        <v>66</v>
      </c>
      <c r="B68" s="3" t="s">
        <v>3</v>
      </c>
      <c r="C68" s="3" t="s">
        <v>19</v>
      </c>
      <c r="D68" s="9">
        <f t="shared" ref="D68:D131" si="13">IF(B68="Top",1,0)</f>
        <v>0</v>
      </c>
      <c r="E68" s="3">
        <f t="shared" ref="E68:E131" si="14">IF(B68="Mid",1,0)</f>
        <v>1</v>
      </c>
      <c r="F68" s="3">
        <f t="shared" ref="F68:F131" si="15">IF(B68="Low",1,0)</f>
        <v>0</v>
      </c>
      <c r="G68" s="3">
        <f t="shared" ref="G68:G131" si="16">IF(B68="Skilled",1,0)</f>
        <v>0</v>
      </c>
      <c r="H68" s="10">
        <f t="shared" ref="H68:H131" si="17">IF(B68="Line",1,0)</f>
        <v>0</v>
      </c>
      <c r="I68" s="9">
        <f t="shared" ref="I68:I131" si="18">IF(C68="Top",1,0)</f>
        <v>0</v>
      </c>
      <c r="J68" s="3">
        <f t="shared" ref="J68:J131" si="19">IF(C68="Mid",1,0)</f>
        <v>0</v>
      </c>
      <c r="K68" s="3">
        <f t="shared" ref="K68:K131" si="20">IF(C68="Low",1,0)</f>
        <v>0</v>
      </c>
      <c r="L68" s="3">
        <f t="shared" ref="L68:L131" si="21">IF(C68="Skilled",1,0)</f>
        <v>0</v>
      </c>
      <c r="M68" s="10">
        <f t="shared" ref="M68:M131" si="22">IF(C68="Line",1,0)</f>
        <v>0</v>
      </c>
      <c r="N68" s="11">
        <f t="shared" ref="N68:N131" si="23">IF(C68="NA",1,0)</f>
        <v>1</v>
      </c>
    </row>
    <row r="69" spans="1:14" x14ac:dyDescent="0.3">
      <c r="A69" s="3">
        <f t="shared" si="12"/>
        <v>67</v>
      </c>
      <c r="B69" s="3" t="s">
        <v>4</v>
      </c>
      <c r="C69" s="3" t="s">
        <v>19</v>
      </c>
      <c r="D69" s="9">
        <f t="shared" si="13"/>
        <v>0</v>
      </c>
      <c r="E69" s="3">
        <f t="shared" si="14"/>
        <v>0</v>
      </c>
      <c r="F69" s="3">
        <f t="shared" si="15"/>
        <v>1</v>
      </c>
      <c r="G69" s="3">
        <f t="shared" si="16"/>
        <v>0</v>
      </c>
      <c r="H69" s="10">
        <f t="shared" si="17"/>
        <v>0</v>
      </c>
      <c r="I69" s="9">
        <f t="shared" si="18"/>
        <v>0</v>
      </c>
      <c r="J69" s="3">
        <f t="shared" si="19"/>
        <v>0</v>
      </c>
      <c r="K69" s="3">
        <f t="shared" si="20"/>
        <v>0</v>
      </c>
      <c r="L69" s="3">
        <f t="shared" si="21"/>
        <v>0</v>
      </c>
      <c r="M69" s="10">
        <f t="shared" si="22"/>
        <v>0</v>
      </c>
      <c r="N69" s="11">
        <f t="shared" si="23"/>
        <v>1</v>
      </c>
    </row>
    <row r="70" spans="1:14" x14ac:dyDescent="0.3">
      <c r="A70" s="3">
        <f t="shared" si="12"/>
        <v>68</v>
      </c>
      <c r="B70" s="3" t="s">
        <v>16</v>
      </c>
      <c r="C70" s="3" t="s">
        <v>19</v>
      </c>
      <c r="D70" s="9">
        <f t="shared" si="13"/>
        <v>0</v>
      </c>
      <c r="E70" s="3">
        <f t="shared" si="14"/>
        <v>0</v>
      </c>
      <c r="F70" s="3">
        <f t="shared" si="15"/>
        <v>0</v>
      </c>
      <c r="G70" s="3">
        <f t="shared" si="16"/>
        <v>1</v>
      </c>
      <c r="H70" s="10">
        <f t="shared" si="17"/>
        <v>0</v>
      </c>
      <c r="I70" s="9">
        <f t="shared" si="18"/>
        <v>0</v>
      </c>
      <c r="J70" s="3">
        <f t="shared" si="19"/>
        <v>0</v>
      </c>
      <c r="K70" s="3">
        <f t="shared" si="20"/>
        <v>0</v>
      </c>
      <c r="L70" s="3">
        <f t="shared" si="21"/>
        <v>0</v>
      </c>
      <c r="M70" s="10">
        <f t="shared" si="22"/>
        <v>0</v>
      </c>
      <c r="N70" s="11">
        <f t="shared" si="23"/>
        <v>1</v>
      </c>
    </row>
    <row r="71" spans="1:14" x14ac:dyDescent="0.3">
      <c r="A71" s="3">
        <f t="shared" si="12"/>
        <v>69</v>
      </c>
      <c r="B71" s="3" t="s">
        <v>3</v>
      </c>
      <c r="C71" s="3" t="s">
        <v>19</v>
      </c>
      <c r="D71" s="9">
        <f t="shared" si="13"/>
        <v>0</v>
      </c>
      <c r="E71" s="3">
        <f t="shared" si="14"/>
        <v>1</v>
      </c>
      <c r="F71" s="3">
        <f t="shared" si="15"/>
        <v>0</v>
      </c>
      <c r="G71" s="3">
        <f t="shared" si="16"/>
        <v>0</v>
      </c>
      <c r="H71" s="10">
        <f t="shared" si="17"/>
        <v>0</v>
      </c>
      <c r="I71" s="9">
        <f t="shared" si="18"/>
        <v>0</v>
      </c>
      <c r="J71" s="3">
        <f t="shared" si="19"/>
        <v>0</v>
      </c>
      <c r="K71" s="3">
        <f t="shared" si="20"/>
        <v>0</v>
      </c>
      <c r="L71" s="3">
        <f t="shared" si="21"/>
        <v>0</v>
      </c>
      <c r="M71" s="10">
        <f t="shared" si="22"/>
        <v>0</v>
      </c>
      <c r="N71" s="11">
        <f t="shared" si="23"/>
        <v>1</v>
      </c>
    </row>
    <row r="72" spans="1:14" x14ac:dyDescent="0.3">
      <c r="A72" s="3">
        <f t="shared" si="12"/>
        <v>70</v>
      </c>
      <c r="B72" s="3" t="s">
        <v>16</v>
      </c>
      <c r="C72" s="3" t="s">
        <v>19</v>
      </c>
      <c r="D72" s="9">
        <f t="shared" si="13"/>
        <v>0</v>
      </c>
      <c r="E72" s="3">
        <f t="shared" si="14"/>
        <v>0</v>
      </c>
      <c r="F72" s="3">
        <f t="shared" si="15"/>
        <v>0</v>
      </c>
      <c r="G72" s="3">
        <f t="shared" si="16"/>
        <v>1</v>
      </c>
      <c r="H72" s="10">
        <f t="shared" si="17"/>
        <v>0</v>
      </c>
      <c r="I72" s="9">
        <f t="shared" si="18"/>
        <v>0</v>
      </c>
      <c r="J72" s="3">
        <f t="shared" si="19"/>
        <v>0</v>
      </c>
      <c r="K72" s="3">
        <f t="shared" si="20"/>
        <v>0</v>
      </c>
      <c r="L72" s="3">
        <f t="shared" si="21"/>
        <v>0</v>
      </c>
      <c r="M72" s="10">
        <f t="shared" si="22"/>
        <v>0</v>
      </c>
      <c r="N72" s="11">
        <f t="shared" si="23"/>
        <v>1</v>
      </c>
    </row>
    <row r="73" spans="1:14" x14ac:dyDescent="0.3">
      <c r="A73" s="3">
        <f t="shared" si="12"/>
        <v>71</v>
      </c>
      <c r="B73" s="3" t="s">
        <v>16</v>
      </c>
      <c r="C73" s="3" t="s">
        <v>19</v>
      </c>
      <c r="D73" s="9">
        <f t="shared" si="13"/>
        <v>0</v>
      </c>
      <c r="E73" s="3">
        <f t="shared" si="14"/>
        <v>0</v>
      </c>
      <c r="F73" s="3">
        <f t="shared" si="15"/>
        <v>0</v>
      </c>
      <c r="G73" s="3">
        <f t="shared" si="16"/>
        <v>1</v>
      </c>
      <c r="H73" s="10">
        <f t="shared" si="17"/>
        <v>0</v>
      </c>
      <c r="I73" s="9">
        <f t="shared" si="18"/>
        <v>0</v>
      </c>
      <c r="J73" s="3">
        <f t="shared" si="19"/>
        <v>0</v>
      </c>
      <c r="K73" s="3">
        <f t="shared" si="20"/>
        <v>0</v>
      </c>
      <c r="L73" s="3">
        <f t="shared" si="21"/>
        <v>0</v>
      </c>
      <c r="M73" s="10">
        <f t="shared" si="22"/>
        <v>0</v>
      </c>
      <c r="N73" s="11">
        <f t="shared" si="23"/>
        <v>1</v>
      </c>
    </row>
    <row r="74" spans="1:14" x14ac:dyDescent="0.3">
      <c r="A74" s="3">
        <f t="shared" si="12"/>
        <v>72</v>
      </c>
      <c r="B74" s="3" t="s">
        <v>17</v>
      </c>
      <c r="C74" s="3" t="s">
        <v>17</v>
      </c>
      <c r="D74" s="9">
        <f t="shared" si="13"/>
        <v>0</v>
      </c>
      <c r="E74" s="3">
        <f t="shared" si="14"/>
        <v>0</v>
      </c>
      <c r="F74" s="3">
        <f t="shared" si="15"/>
        <v>0</v>
      </c>
      <c r="G74" s="3">
        <f t="shared" si="16"/>
        <v>0</v>
      </c>
      <c r="H74" s="10">
        <f t="shared" si="17"/>
        <v>1</v>
      </c>
      <c r="I74" s="9">
        <f t="shared" si="18"/>
        <v>0</v>
      </c>
      <c r="J74" s="3">
        <f t="shared" si="19"/>
        <v>0</v>
      </c>
      <c r="K74" s="3">
        <f t="shared" si="20"/>
        <v>0</v>
      </c>
      <c r="L74" s="3">
        <f t="shared" si="21"/>
        <v>0</v>
      </c>
      <c r="M74" s="10">
        <f t="shared" si="22"/>
        <v>1</v>
      </c>
      <c r="N74" s="11">
        <f t="shared" si="23"/>
        <v>0</v>
      </c>
    </row>
    <row r="75" spans="1:14" x14ac:dyDescent="0.3">
      <c r="A75" s="3">
        <f t="shared" si="12"/>
        <v>73</v>
      </c>
      <c r="B75" s="3" t="s">
        <v>17</v>
      </c>
      <c r="C75" s="3" t="s">
        <v>4</v>
      </c>
      <c r="D75" s="9">
        <f t="shared" si="13"/>
        <v>0</v>
      </c>
      <c r="E75" s="3">
        <f t="shared" si="14"/>
        <v>0</v>
      </c>
      <c r="F75" s="3">
        <f t="shared" si="15"/>
        <v>0</v>
      </c>
      <c r="G75" s="3">
        <f t="shared" si="16"/>
        <v>0</v>
      </c>
      <c r="H75" s="10">
        <f t="shared" si="17"/>
        <v>1</v>
      </c>
      <c r="I75" s="9">
        <f t="shared" si="18"/>
        <v>0</v>
      </c>
      <c r="J75" s="3">
        <f t="shared" si="19"/>
        <v>0</v>
      </c>
      <c r="K75" s="3">
        <f t="shared" si="20"/>
        <v>1</v>
      </c>
      <c r="L75" s="3">
        <f t="shared" si="21"/>
        <v>0</v>
      </c>
      <c r="M75" s="10">
        <f t="shared" si="22"/>
        <v>0</v>
      </c>
      <c r="N75" s="11">
        <f t="shared" si="23"/>
        <v>0</v>
      </c>
    </row>
    <row r="76" spans="1:14" x14ac:dyDescent="0.3">
      <c r="A76" s="3">
        <f t="shared" si="12"/>
        <v>74</v>
      </c>
      <c r="B76" s="3" t="s">
        <v>16</v>
      </c>
      <c r="C76" s="3" t="s">
        <v>4</v>
      </c>
      <c r="D76" s="9">
        <f t="shared" si="13"/>
        <v>0</v>
      </c>
      <c r="E76" s="3">
        <f t="shared" si="14"/>
        <v>0</v>
      </c>
      <c r="F76" s="3">
        <f t="shared" si="15"/>
        <v>0</v>
      </c>
      <c r="G76" s="3">
        <f t="shared" si="16"/>
        <v>1</v>
      </c>
      <c r="H76" s="10">
        <f t="shared" si="17"/>
        <v>0</v>
      </c>
      <c r="I76" s="9">
        <f t="shared" si="18"/>
        <v>0</v>
      </c>
      <c r="J76" s="3">
        <f t="shared" si="19"/>
        <v>0</v>
      </c>
      <c r="K76" s="3">
        <f t="shared" si="20"/>
        <v>1</v>
      </c>
      <c r="L76" s="3">
        <f t="shared" si="21"/>
        <v>0</v>
      </c>
      <c r="M76" s="10">
        <f t="shared" si="22"/>
        <v>0</v>
      </c>
      <c r="N76" s="11">
        <f t="shared" si="23"/>
        <v>0</v>
      </c>
    </row>
    <row r="77" spans="1:14" x14ac:dyDescent="0.3">
      <c r="A77" s="3">
        <f t="shared" si="12"/>
        <v>75</v>
      </c>
      <c r="B77" s="3" t="s">
        <v>8</v>
      </c>
      <c r="C77" s="3" t="s">
        <v>3</v>
      </c>
      <c r="D77" s="9">
        <f t="shared" si="13"/>
        <v>1</v>
      </c>
      <c r="E77" s="3">
        <f t="shared" si="14"/>
        <v>0</v>
      </c>
      <c r="F77" s="3">
        <f t="shared" si="15"/>
        <v>0</v>
      </c>
      <c r="G77" s="3">
        <f t="shared" si="16"/>
        <v>0</v>
      </c>
      <c r="H77" s="10">
        <f t="shared" si="17"/>
        <v>0</v>
      </c>
      <c r="I77" s="9">
        <f t="shared" si="18"/>
        <v>0</v>
      </c>
      <c r="J77" s="3">
        <f t="shared" si="19"/>
        <v>1</v>
      </c>
      <c r="K77" s="3">
        <f t="shared" si="20"/>
        <v>0</v>
      </c>
      <c r="L77" s="3">
        <f t="shared" si="21"/>
        <v>0</v>
      </c>
      <c r="M77" s="10">
        <f t="shared" si="22"/>
        <v>0</v>
      </c>
      <c r="N77" s="11">
        <f t="shared" si="23"/>
        <v>0</v>
      </c>
    </row>
    <row r="78" spans="1:14" x14ac:dyDescent="0.3">
      <c r="A78" s="3">
        <f t="shared" si="12"/>
        <v>76</v>
      </c>
      <c r="B78" s="3" t="s">
        <v>17</v>
      </c>
      <c r="C78" s="3" t="s">
        <v>4</v>
      </c>
      <c r="D78" s="9">
        <f t="shared" si="13"/>
        <v>0</v>
      </c>
      <c r="E78" s="3">
        <f t="shared" si="14"/>
        <v>0</v>
      </c>
      <c r="F78" s="3">
        <f t="shared" si="15"/>
        <v>0</v>
      </c>
      <c r="G78" s="3">
        <f t="shared" si="16"/>
        <v>0</v>
      </c>
      <c r="H78" s="10">
        <f t="shared" si="17"/>
        <v>1</v>
      </c>
      <c r="I78" s="9">
        <f t="shared" si="18"/>
        <v>0</v>
      </c>
      <c r="J78" s="3">
        <f t="shared" si="19"/>
        <v>0</v>
      </c>
      <c r="K78" s="3">
        <f t="shared" si="20"/>
        <v>1</v>
      </c>
      <c r="L78" s="3">
        <f t="shared" si="21"/>
        <v>0</v>
      </c>
      <c r="M78" s="10">
        <f t="shared" si="22"/>
        <v>0</v>
      </c>
      <c r="N78" s="11">
        <f t="shared" si="23"/>
        <v>0</v>
      </c>
    </row>
    <row r="79" spans="1:14" x14ac:dyDescent="0.3">
      <c r="A79" s="3">
        <f t="shared" si="12"/>
        <v>77</v>
      </c>
      <c r="B79" s="3" t="s">
        <v>16</v>
      </c>
      <c r="C79" s="3" t="s">
        <v>4</v>
      </c>
      <c r="D79" s="9">
        <f t="shared" si="13"/>
        <v>0</v>
      </c>
      <c r="E79" s="3">
        <f t="shared" si="14"/>
        <v>0</v>
      </c>
      <c r="F79" s="3">
        <f t="shared" si="15"/>
        <v>0</v>
      </c>
      <c r="G79" s="3">
        <f t="shared" si="16"/>
        <v>1</v>
      </c>
      <c r="H79" s="10">
        <f t="shared" si="17"/>
        <v>0</v>
      </c>
      <c r="I79" s="9">
        <f t="shared" si="18"/>
        <v>0</v>
      </c>
      <c r="J79" s="3">
        <f t="shared" si="19"/>
        <v>0</v>
      </c>
      <c r="K79" s="3">
        <f t="shared" si="20"/>
        <v>1</v>
      </c>
      <c r="L79" s="3">
        <f t="shared" si="21"/>
        <v>0</v>
      </c>
      <c r="M79" s="10">
        <f t="shared" si="22"/>
        <v>0</v>
      </c>
      <c r="N79" s="11">
        <f t="shared" si="23"/>
        <v>0</v>
      </c>
    </row>
    <row r="80" spans="1:14" x14ac:dyDescent="0.3">
      <c r="A80" s="3">
        <f t="shared" si="12"/>
        <v>78</v>
      </c>
      <c r="B80" s="3" t="s">
        <v>4</v>
      </c>
      <c r="C80" s="3" t="s">
        <v>4</v>
      </c>
      <c r="D80" s="9">
        <f t="shared" si="13"/>
        <v>0</v>
      </c>
      <c r="E80" s="3">
        <f t="shared" si="14"/>
        <v>0</v>
      </c>
      <c r="F80" s="3">
        <f t="shared" si="15"/>
        <v>1</v>
      </c>
      <c r="G80" s="3">
        <f t="shared" si="16"/>
        <v>0</v>
      </c>
      <c r="H80" s="10">
        <f t="shared" si="17"/>
        <v>0</v>
      </c>
      <c r="I80" s="9">
        <f t="shared" si="18"/>
        <v>0</v>
      </c>
      <c r="J80" s="3">
        <f t="shared" si="19"/>
        <v>0</v>
      </c>
      <c r="K80" s="3">
        <f t="shared" si="20"/>
        <v>1</v>
      </c>
      <c r="L80" s="3">
        <f t="shared" si="21"/>
        <v>0</v>
      </c>
      <c r="M80" s="10">
        <f t="shared" si="22"/>
        <v>0</v>
      </c>
      <c r="N80" s="11">
        <f t="shared" si="23"/>
        <v>0</v>
      </c>
    </row>
    <row r="81" spans="1:14" x14ac:dyDescent="0.3">
      <c r="A81" s="3">
        <f t="shared" si="12"/>
        <v>79</v>
      </c>
      <c r="B81" s="3" t="s">
        <v>17</v>
      </c>
      <c r="C81" s="3" t="s">
        <v>4</v>
      </c>
      <c r="D81" s="9">
        <f t="shared" si="13"/>
        <v>0</v>
      </c>
      <c r="E81" s="3">
        <f t="shared" si="14"/>
        <v>0</v>
      </c>
      <c r="F81" s="3">
        <f t="shared" si="15"/>
        <v>0</v>
      </c>
      <c r="G81" s="3">
        <f t="shared" si="16"/>
        <v>0</v>
      </c>
      <c r="H81" s="10">
        <f t="shared" si="17"/>
        <v>1</v>
      </c>
      <c r="I81" s="9">
        <f t="shared" si="18"/>
        <v>0</v>
      </c>
      <c r="J81" s="3">
        <f t="shared" si="19"/>
        <v>0</v>
      </c>
      <c r="K81" s="3">
        <f t="shared" si="20"/>
        <v>1</v>
      </c>
      <c r="L81" s="3">
        <f t="shared" si="21"/>
        <v>0</v>
      </c>
      <c r="M81" s="10">
        <f t="shared" si="22"/>
        <v>0</v>
      </c>
      <c r="N81" s="11">
        <f t="shared" si="23"/>
        <v>0</v>
      </c>
    </row>
    <row r="82" spans="1:14" x14ac:dyDescent="0.3">
      <c r="A82" s="3">
        <f t="shared" si="12"/>
        <v>80</v>
      </c>
      <c r="B82" s="3" t="s">
        <v>3</v>
      </c>
      <c r="C82" s="3" t="s">
        <v>3</v>
      </c>
      <c r="D82" s="9">
        <f t="shared" si="13"/>
        <v>0</v>
      </c>
      <c r="E82" s="3">
        <f t="shared" si="14"/>
        <v>1</v>
      </c>
      <c r="F82" s="3">
        <f t="shared" si="15"/>
        <v>0</v>
      </c>
      <c r="G82" s="3">
        <f t="shared" si="16"/>
        <v>0</v>
      </c>
      <c r="H82" s="10">
        <f t="shared" si="17"/>
        <v>0</v>
      </c>
      <c r="I82" s="9">
        <f t="shared" si="18"/>
        <v>0</v>
      </c>
      <c r="J82" s="3">
        <f t="shared" si="19"/>
        <v>1</v>
      </c>
      <c r="K82" s="3">
        <f t="shared" si="20"/>
        <v>0</v>
      </c>
      <c r="L82" s="3">
        <f t="shared" si="21"/>
        <v>0</v>
      </c>
      <c r="M82" s="10">
        <f t="shared" si="22"/>
        <v>0</v>
      </c>
      <c r="N82" s="11">
        <f t="shared" si="23"/>
        <v>0</v>
      </c>
    </row>
    <row r="83" spans="1:14" x14ac:dyDescent="0.3">
      <c r="A83" s="3">
        <f t="shared" si="12"/>
        <v>81</v>
      </c>
      <c r="B83" s="3" t="s">
        <v>3</v>
      </c>
      <c r="C83" s="3" t="s">
        <v>3</v>
      </c>
      <c r="D83" s="9">
        <f t="shared" si="13"/>
        <v>0</v>
      </c>
      <c r="E83" s="3">
        <f t="shared" si="14"/>
        <v>1</v>
      </c>
      <c r="F83" s="3">
        <f t="shared" si="15"/>
        <v>0</v>
      </c>
      <c r="G83" s="3">
        <f t="shared" si="16"/>
        <v>0</v>
      </c>
      <c r="H83" s="10">
        <f t="shared" si="17"/>
        <v>0</v>
      </c>
      <c r="I83" s="9">
        <f t="shared" si="18"/>
        <v>0</v>
      </c>
      <c r="J83" s="3">
        <f t="shared" si="19"/>
        <v>1</v>
      </c>
      <c r="K83" s="3">
        <f t="shared" si="20"/>
        <v>0</v>
      </c>
      <c r="L83" s="3">
        <f t="shared" si="21"/>
        <v>0</v>
      </c>
      <c r="M83" s="10">
        <f t="shared" si="22"/>
        <v>0</v>
      </c>
      <c r="N83" s="11">
        <f t="shared" si="23"/>
        <v>0</v>
      </c>
    </row>
    <row r="84" spans="1:14" x14ac:dyDescent="0.3">
      <c r="A84" s="3">
        <f t="shared" si="12"/>
        <v>82</v>
      </c>
      <c r="B84" s="3" t="s">
        <v>4</v>
      </c>
      <c r="C84" s="3" t="s">
        <v>4</v>
      </c>
      <c r="D84" s="9">
        <f t="shared" si="13"/>
        <v>0</v>
      </c>
      <c r="E84" s="3">
        <f t="shared" si="14"/>
        <v>0</v>
      </c>
      <c r="F84" s="3">
        <f t="shared" si="15"/>
        <v>1</v>
      </c>
      <c r="G84" s="3">
        <f t="shared" si="16"/>
        <v>0</v>
      </c>
      <c r="H84" s="10">
        <f t="shared" si="17"/>
        <v>0</v>
      </c>
      <c r="I84" s="9">
        <f t="shared" si="18"/>
        <v>0</v>
      </c>
      <c r="J84" s="3">
        <f t="shared" si="19"/>
        <v>0</v>
      </c>
      <c r="K84" s="3">
        <f t="shared" si="20"/>
        <v>1</v>
      </c>
      <c r="L84" s="3">
        <f t="shared" si="21"/>
        <v>0</v>
      </c>
      <c r="M84" s="10">
        <f t="shared" si="22"/>
        <v>0</v>
      </c>
      <c r="N84" s="11">
        <f t="shared" si="23"/>
        <v>0</v>
      </c>
    </row>
    <row r="85" spans="1:14" x14ac:dyDescent="0.3">
      <c r="A85" s="3">
        <f t="shared" si="12"/>
        <v>83</v>
      </c>
      <c r="B85" s="3" t="s">
        <v>17</v>
      </c>
      <c r="C85" s="3" t="s">
        <v>17</v>
      </c>
      <c r="D85" s="9">
        <f t="shared" si="13"/>
        <v>0</v>
      </c>
      <c r="E85" s="3">
        <f t="shared" si="14"/>
        <v>0</v>
      </c>
      <c r="F85" s="3">
        <f t="shared" si="15"/>
        <v>0</v>
      </c>
      <c r="G85" s="3">
        <f t="shared" si="16"/>
        <v>0</v>
      </c>
      <c r="H85" s="10">
        <f t="shared" si="17"/>
        <v>1</v>
      </c>
      <c r="I85" s="9">
        <f t="shared" si="18"/>
        <v>0</v>
      </c>
      <c r="J85" s="3">
        <f t="shared" si="19"/>
        <v>0</v>
      </c>
      <c r="K85" s="3">
        <f t="shared" si="20"/>
        <v>0</v>
      </c>
      <c r="L85" s="3">
        <f t="shared" si="21"/>
        <v>0</v>
      </c>
      <c r="M85" s="10">
        <f t="shared" si="22"/>
        <v>1</v>
      </c>
      <c r="N85" s="11">
        <f t="shared" si="23"/>
        <v>0</v>
      </c>
    </row>
    <row r="86" spans="1:14" x14ac:dyDescent="0.3">
      <c r="A86" s="3">
        <f t="shared" si="12"/>
        <v>84</v>
      </c>
      <c r="B86" s="3" t="s">
        <v>3</v>
      </c>
      <c r="C86" s="3" t="s">
        <v>8</v>
      </c>
      <c r="D86" s="9">
        <f t="shared" si="13"/>
        <v>0</v>
      </c>
      <c r="E86" s="3">
        <f t="shared" si="14"/>
        <v>1</v>
      </c>
      <c r="F86" s="3">
        <f t="shared" si="15"/>
        <v>0</v>
      </c>
      <c r="G86" s="3">
        <f t="shared" si="16"/>
        <v>0</v>
      </c>
      <c r="H86" s="10">
        <f t="shared" si="17"/>
        <v>0</v>
      </c>
      <c r="I86" s="9">
        <f t="shared" si="18"/>
        <v>1</v>
      </c>
      <c r="J86" s="3">
        <f t="shared" si="19"/>
        <v>0</v>
      </c>
      <c r="K86" s="3">
        <f t="shared" si="20"/>
        <v>0</v>
      </c>
      <c r="L86" s="3">
        <f t="shared" si="21"/>
        <v>0</v>
      </c>
      <c r="M86" s="10">
        <f t="shared" si="22"/>
        <v>0</v>
      </c>
      <c r="N86" s="11">
        <f t="shared" si="23"/>
        <v>0</v>
      </c>
    </row>
    <row r="87" spans="1:14" x14ac:dyDescent="0.3">
      <c r="A87" s="3">
        <f t="shared" si="12"/>
        <v>85</v>
      </c>
      <c r="B87" s="3" t="s">
        <v>16</v>
      </c>
      <c r="C87" s="3" t="s">
        <v>4</v>
      </c>
      <c r="D87" s="9">
        <f t="shared" si="13"/>
        <v>0</v>
      </c>
      <c r="E87" s="3">
        <f t="shared" si="14"/>
        <v>0</v>
      </c>
      <c r="F87" s="3">
        <f t="shared" si="15"/>
        <v>0</v>
      </c>
      <c r="G87" s="3">
        <f t="shared" si="16"/>
        <v>1</v>
      </c>
      <c r="H87" s="10">
        <f t="shared" si="17"/>
        <v>0</v>
      </c>
      <c r="I87" s="9">
        <f t="shared" si="18"/>
        <v>0</v>
      </c>
      <c r="J87" s="3">
        <f t="shared" si="19"/>
        <v>0</v>
      </c>
      <c r="K87" s="3">
        <f t="shared" si="20"/>
        <v>1</v>
      </c>
      <c r="L87" s="3">
        <f t="shared" si="21"/>
        <v>0</v>
      </c>
      <c r="M87" s="10">
        <f t="shared" si="22"/>
        <v>0</v>
      </c>
      <c r="N87" s="11">
        <f t="shared" si="23"/>
        <v>0</v>
      </c>
    </row>
    <row r="88" spans="1:14" x14ac:dyDescent="0.3">
      <c r="A88" s="3">
        <f t="shared" si="12"/>
        <v>86</v>
      </c>
      <c r="B88" s="3" t="s">
        <v>17</v>
      </c>
      <c r="C88" s="3" t="s">
        <v>4</v>
      </c>
      <c r="D88" s="9">
        <f t="shared" si="13"/>
        <v>0</v>
      </c>
      <c r="E88" s="3">
        <f t="shared" si="14"/>
        <v>0</v>
      </c>
      <c r="F88" s="3">
        <f t="shared" si="15"/>
        <v>0</v>
      </c>
      <c r="G88" s="3">
        <f t="shared" si="16"/>
        <v>0</v>
      </c>
      <c r="H88" s="10">
        <f t="shared" si="17"/>
        <v>1</v>
      </c>
      <c r="I88" s="9">
        <f t="shared" si="18"/>
        <v>0</v>
      </c>
      <c r="J88" s="3">
        <f t="shared" si="19"/>
        <v>0</v>
      </c>
      <c r="K88" s="3">
        <f t="shared" si="20"/>
        <v>1</v>
      </c>
      <c r="L88" s="3">
        <f t="shared" si="21"/>
        <v>0</v>
      </c>
      <c r="M88" s="10">
        <f t="shared" si="22"/>
        <v>0</v>
      </c>
      <c r="N88" s="11">
        <f t="shared" si="23"/>
        <v>0</v>
      </c>
    </row>
    <row r="89" spans="1:14" x14ac:dyDescent="0.3">
      <c r="A89" s="3">
        <f t="shared" si="12"/>
        <v>87</v>
      </c>
      <c r="B89" s="3" t="s">
        <v>4</v>
      </c>
      <c r="C89" s="3" t="s">
        <v>4</v>
      </c>
      <c r="D89" s="9">
        <f t="shared" si="13"/>
        <v>0</v>
      </c>
      <c r="E89" s="3">
        <f t="shared" si="14"/>
        <v>0</v>
      </c>
      <c r="F89" s="3">
        <f t="shared" si="15"/>
        <v>1</v>
      </c>
      <c r="G89" s="3">
        <f t="shared" si="16"/>
        <v>0</v>
      </c>
      <c r="H89" s="10">
        <f t="shared" si="17"/>
        <v>0</v>
      </c>
      <c r="I89" s="9">
        <f t="shared" si="18"/>
        <v>0</v>
      </c>
      <c r="J89" s="3">
        <f t="shared" si="19"/>
        <v>0</v>
      </c>
      <c r="K89" s="3">
        <f t="shared" si="20"/>
        <v>1</v>
      </c>
      <c r="L89" s="3">
        <f t="shared" si="21"/>
        <v>0</v>
      </c>
      <c r="M89" s="10">
        <f t="shared" si="22"/>
        <v>0</v>
      </c>
      <c r="N89" s="11">
        <f t="shared" si="23"/>
        <v>0</v>
      </c>
    </row>
    <row r="90" spans="1:14" x14ac:dyDescent="0.3">
      <c r="A90" s="3">
        <f t="shared" si="12"/>
        <v>88</v>
      </c>
      <c r="B90" s="3" t="s">
        <v>8</v>
      </c>
      <c r="C90" s="3" t="s">
        <v>3</v>
      </c>
      <c r="D90" s="9">
        <f t="shared" si="13"/>
        <v>1</v>
      </c>
      <c r="E90" s="3">
        <f t="shared" si="14"/>
        <v>0</v>
      </c>
      <c r="F90" s="3">
        <f t="shared" si="15"/>
        <v>0</v>
      </c>
      <c r="G90" s="3">
        <f t="shared" si="16"/>
        <v>0</v>
      </c>
      <c r="H90" s="10">
        <f t="shared" si="17"/>
        <v>0</v>
      </c>
      <c r="I90" s="9">
        <f t="shared" si="18"/>
        <v>0</v>
      </c>
      <c r="J90" s="3">
        <f t="shared" si="19"/>
        <v>1</v>
      </c>
      <c r="K90" s="3">
        <f t="shared" si="20"/>
        <v>0</v>
      </c>
      <c r="L90" s="3">
        <f t="shared" si="21"/>
        <v>0</v>
      </c>
      <c r="M90" s="10">
        <f t="shared" si="22"/>
        <v>0</v>
      </c>
      <c r="N90" s="11">
        <f t="shared" si="23"/>
        <v>0</v>
      </c>
    </row>
    <row r="91" spans="1:14" x14ac:dyDescent="0.3">
      <c r="A91" s="3">
        <f t="shared" si="12"/>
        <v>89</v>
      </c>
      <c r="B91" s="3" t="s">
        <v>3</v>
      </c>
      <c r="C91" s="3" t="s">
        <v>3</v>
      </c>
      <c r="D91" s="9">
        <f t="shared" si="13"/>
        <v>0</v>
      </c>
      <c r="E91" s="3">
        <f t="shared" si="14"/>
        <v>1</v>
      </c>
      <c r="F91" s="3">
        <f t="shared" si="15"/>
        <v>0</v>
      </c>
      <c r="G91" s="3">
        <f t="shared" si="16"/>
        <v>0</v>
      </c>
      <c r="H91" s="10">
        <f t="shared" si="17"/>
        <v>0</v>
      </c>
      <c r="I91" s="9">
        <f t="shared" si="18"/>
        <v>0</v>
      </c>
      <c r="J91" s="3">
        <f t="shared" si="19"/>
        <v>1</v>
      </c>
      <c r="K91" s="3">
        <f t="shared" si="20"/>
        <v>0</v>
      </c>
      <c r="L91" s="3">
        <f t="shared" si="21"/>
        <v>0</v>
      </c>
      <c r="M91" s="10">
        <f t="shared" si="22"/>
        <v>0</v>
      </c>
      <c r="N91" s="11">
        <f t="shared" si="23"/>
        <v>0</v>
      </c>
    </row>
    <row r="92" spans="1:14" x14ac:dyDescent="0.3">
      <c r="A92" s="3">
        <f t="shared" si="12"/>
        <v>90</v>
      </c>
      <c r="B92" s="3" t="s">
        <v>16</v>
      </c>
      <c r="C92" s="3" t="s">
        <v>4</v>
      </c>
      <c r="D92" s="9">
        <f t="shared" si="13"/>
        <v>0</v>
      </c>
      <c r="E92" s="3">
        <f t="shared" si="14"/>
        <v>0</v>
      </c>
      <c r="F92" s="3">
        <f t="shared" si="15"/>
        <v>0</v>
      </c>
      <c r="G92" s="3">
        <f t="shared" si="16"/>
        <v>1</v>
      </c>
      <c r="H92" s="10">
        <f t="shared" si="17"/>
        <v>0</v>
      </c>
      <c r="I92" s="9">
        <f t="shared" si="18"/>
        <v>0</v>
      </c>
      <c r="J92" s="3">
        <f t="shared" si="19"/>
        <v>0</v>
      </c>
      <c r="K92" s="3">
        <f t="shared" si="20"/>
        <v>1</v>
      </c>
      <c r="L92" s="3">
        <f t="shared" si="21"/>
        <v>0</v>
      </c>
      <c r="M92" s="10">
        <f t="shared" si="22"/>
        <v>0</v>
      </c>
      <c r="N92" s="11">
        <f t="shared" si="23"/>
        <v>0</v>
      </c>
    </row>
    <row r="93" spans="1:14" x14ac:dyDescent="0.3">
      <c r="A93" s="3">
        <f t="shared" si="12"/>
        <v>91</v>
      </c>
      <c r="B93" s="3" t="s">
        <v>3</v>
      </c>
      <c r="C93" s="3" t="s">
        <v>3</v>
      </c>
      <c r="D93" s="9">
        <f t="shared" si="13"/>
        <v>0</v>
      </c>
      <c r="E93" s="3">
        <f t="shared" si="14"/>
        <v>1</v>
      </c>
      <c r="F93" s="3">
        <f t="shared" si="15"/>
        <v>0</v>
      </c>
      <c r="G93" s="3">
        <f t="shared" si="16"/>
        <v>0</v>
      </c>
      <c r="H93" s="10">
        <f t="shared" si="17"/>
        <v>0</v>
      </c>
      <c r="I93" s="9">
        <f t="shared" si="18"/>
        <v>0</v>
      </c>
      <c r="J93" s="3">
        <f t="shared" si="19"/>
        <v>1</v>
      </c>
      <c r="K93" s="3">
        <f t="shared" si="20"/>
        <v>0</v>
      </c>
      <c r="L93" s="3">
        <f t="shared" si="21"/>
        <v>0</v>
      </c>
      <c r="M93" s="10">
        <f t="shared" si="22"/>
        <v>0</v>
      </c>
      <c r="N93" s="11">
        <f t="shared" si="23"/>
        <v>0</v>
      </c>
    </row>
    <row r="94" spans="1:14" x14ac:dyDescent="0.3">
      <c r="A94" s="3">
        <f t="shared" si="12"/>
        <v>92</v>
      </c>
      <c r="B94" s="3" t="s">
        <v>17</v>
      </c>
      <c r="C94" s="3" t="s">
        <v>17</v>
      </c>
      <c r="D94" s="9">
        <f t="shared" si="13"/>
        <v>0</v>
      </c>
      <c r="E94" s="3">
        <f t="shared" si="14"/>
        <v>0</v>
      </c>
      <c r="F94" s="3">
        <f t="shared" si="15"/>
        <v>0</v>
      </c>
      <c r="G94" s="3">
        <f t="shared" si="16"/>
        <v>0</v>
      </c>
      <c r="H94" s="10">
        <f t="shared" si="17"/>
        <v>1</v>
      </c>
      <c r="I94" s="9">
        <f t="shared" si="18"/>
        <v>0</v>
      </c>
      <c r="J94" s="3">
        <f t="shared" si="19"/>
        <v>0</v>
      </c>
      <c r="K94" s="3">
        <f t="shared" si="20"/>
        <v>0</v>
      </c>
      <c r="L94" s="3">
        <f t="shared" si="21"/>
        <v>0</v>
      </c>
      <c r="M94" s="10">
        <f t="shared" si="22"/>
        <v>1</v>
      </c>
      <c r="N94" s="11">
        <f t="shared" si="23"/>
        <v>0</v>
      </c>
    </row>
    <row r="95" spans="1:14" x14ac:dyDescent="0.3">
      <c r="A95" s="3">
        <f t="shared" si="12"/>
        <v>93</v>
      </c>
      <c r="B95" s="3" t="s">
        <v>3</v>
      </c>
      <c r="C95" s="3" t="s">
        <v>3</v>
      </c>
      <c r="D95" s="9">
        <f t="shared" si="13"/>
        <v>0</v>
      </c>
      <c r="E95" s="3">
        <f t="shared" si="14"/>
        <v>1</v>
      </c>
      <c r="F95" s="3">
        <f t="shared" si="15"/>
        <v>0</v>
      </c>
      <c r="G95" s="3">
        <f t="shared" si="16"/>
        <v>0</v>
      </c>
      <c r="H95" s="10">
        <f t="shared" si="17"/>
        <v>0</v>
      </c>
      <c r="I95" s="9">
        <f t="shared" si="18"/>
        <v>0</v>
      </c>
      <c r="J95" s="3">
        <f t="shared" si="19"/>
        <v>1</v>
      </c>
      <c r="K95" s="3">
        <f t="shared" si="20"/>
        <v>0</v>
      </c>
      <c r="L95" s="3">
        <f t="shared" si="21"/>
        <v>0</v>
      </c>
      <c r="M95" s="10">
        <f t="shared" si="22"/>
        <v>0</v>
      </c>
      <c r="N95" s="11">
        <f t="shared" si="23"/>
        <v>0</v>
      </c>
    </row>
    <row r="96" spans="1:14" x14ac:dyDescent="0.3">
      <c r="A96" s="3">
        <f t="shared" si="12"/>
        <v>94</v>
      </c>
      <c r="B96" s="3" t="s">
        <v>17</v>
      </c>
      <c r="C96" s="3" t="s">
        <v>4</v>
      </c>
      <c r="D96" s="9">
        <f t="shared" si="13"/>
        <v>0</v>
      </c>
      <c r="E96" s="3">
        <f t="shared" si="14"/>
        <v>0</v>
      </c>
      <c r="F96" s="3">
        <f t="shared" si="15"/>
        <v>0</v>
      </c>
      <c r="G96" s="3">
        <f t="shared" si="16"/>
        <v>0</v>
      </c>
      <c r="H96" s="10">
        <f t="shared" si="17"/>
        <v>1</v>
      </c>
      <c r="I96" s="9">
        <f t="shared" si="18"/>
        <v>0</v>
      </c>
      <c r="J96" s="3">
        <f t="shared" si="19"/>
        <v>0</v>
      </c>
      <c r="K96" s="3">
        <f t="shared" si="20"/>
        <v>1</v>
      </c>
      <c r="L96" s="3">
        <f t="shared" si="21"/>
        <v>0</v>
      </c>
      <c r="M96" s="10">
        <f t="shared" si="22"/>
        <v>0</v>
      </c>
      <c r="N96" s="11">
        <f t="shared" si="23"/>
        <v>0</v>
      </c>
    </row>
    <row r="97" spans="1:14" x14ac:dyDescent="0.3">
      <c r="A97" s="3">
        <f t="shared" si="12"/>
        <v>95</v>
      </c>
      <c r="B97" s="3" t="s">
        <v>4</v>
      </c>
      <c r="C97" s="3" t="s">
        <v>4</v>
      </c>
      <c r="D97" s="9">
        <f t="shared" si="13"/>
        <v>0</v>
      </c>
      <c r="E97" s="3">
        <f t="shared" si="14"/>
        <v>0</v>
      </c>
      <c r="F97" s="3">
        <f t="shared" si="15"/>
        <v>1</v>
      </c>
      <c r="G97" s="3">
        <f t="shared" si="16"/>
        <v>0</v>
      </c>
      <c r="H97" s="10">
        <f t="shared" si="17"/>
        <v>0</v>
      </c>
      <c r="I97" s="9">
        <f t="shared" si="18"/>
        <v>0</v>
      </c>
      <c r="J97" s="3">
        <f t="shared" si="19"/>
        <v>0</v>
      </c>
      <c r="K97" s="3">
        <f t="shared" si="20"/>
        <v>1</v>
      </c>
      <c r="L97" s="3">
        <f t="shared" si="21"/>
        <v>0</v>
      </c>
      <c r="M97" s="10">
        <f t="shared" si="22"/>
        <v>0</v>
      </c>
      <c r="N97" s="11">
        <f t="shared" si="23"/>
        <v>0</v>
      </c>
    </row>
    <row r="98" spans="1:14" x14ac:dyDescent="0.3">
      <c r="A98" s="3">
        <f t="shared" si="12"/>
        <v>96</v>
      </c>
      <c r="B98" s="3" t="s">
        <v>3</v>
      </c>
      <c r="C98" s="3" t="s">
        <v>8</v>
      </c>
      <c r="D98" s="9">
        <f t="shared" si="13"/>
        <v>0</v>
      </c>
      <c r="E98" s="3">
        <f t="shared" si="14"/>
        <v>1</v>
      </c>
      <c r="F98" s="3">
        <f t="shared" si="15"/>
        <v>0</v>
      </c>
      <c r="G98" s="3">
        <f t="shared" si="16"/>
        <v>0</v>
      </c>
      <c r="H98" s="10">
        <f t="shared" si="17"/>
        <v>0</v>
      </c>
      <c r="I98" s="9">
        <f t="shared" si="18"/>
        <v>1</v>
      </c>
      <c r="J98" s="3">
        <f t="shared" si="19"/>
        <v>0</v>
      </c>
      <c r="K98" s="3">
        <f t="shared" si="20"/>
        <v>0</v>
      </c>
      <c r="L98" s="3">
        <f t="shared" si="21"/>
        <v>0</v>
      </c>
      <c r="M98" s="10">
        <f t="shared" si="22"/>
        <v>0</v>
      </c>
      <c r="N98" s="11">
        <f t="shared" si="23"/>
        <v>0</v>
      </c>
    </row>
    <row r="99" spans="1:14" x14ac:dyDescent="0.3">
      <c r="A99" s="3">
        <f t="shared" si="12"/>
        <v>97</v>
      </c>
      <c r="B99" s="3" t="s">
        <v>17</v>
      </c>
      <c r="C99" s="3" t="s">
        <v>4</v>
      </c>
      <c r="D99" s="9">
        <f t="shared" si="13"/>
        <v>0</v>
      </c>
      <c r="E99" s="3">
        <f t="shared" si="14"/>
        <v>0</v>
      </c>
      <c r="F99" s="3">
        <f t="shared" si="15"/>
        <v>0</v>
      </c>
      <c r="G99" s="3">
        <f t="shared" si="16"/>
        <v>0</v>
      </c>
      <c r="H99" s="10">
        <f t="shared" si="17"/>
        <v>1</v>
      </c>
      <c r="I99" s="9">
        <f t="shared" si="18"/>
        <v>0</v>
      </c>
      <c r="J99" s="3">
        <f t="shared" si="19"/>
        <v>0</v>
      </c>
      <c r="K99" s="3">
        <f t="shared" si="20"/>
        <v>1</v>
      </c>
      <c r="L99" s="3">
        <f t="shared" si="21"/>
        <v>0</v>
      </c>
      <c r="M99" s="10">
        <f t="shared" si="22"/>
        <v>0</v>
      </c>
      <c r="N99" s="11">
        <f t="shared" si="23"/>
        <v>0</v>
      </c>
    </row>
    <row r="100" spans="1:14" x14ac:dyDescent="0.3">
      <c r="A100" s="3">
        <f t="shared" si="12"/>
        <v>98</v>
      </c>
      <c r="B100" s="3" t="s">
        <v>4</v>
      </c>
      <c r="C100" s="3" t="s">
        <v>4</v>
      </c>
      <c r="D100" s="9">
        <f t="shared" si="13"/>
        <v>0</v>
      </c>
      <c r="E100" s="3">
        <f t="shared" si="14"/>
        <v>0</v>
      </c>
      <c r="F100" s="3">
        <f t="shared" si="15"/>
        <v>1</v>
      </c>
      <c r="G100" s="3">
        <f t="shared" si="16"/>
        <v>0</v>
      </c>
      <c r="H100" s="10">
        <f t="shared" si="17"/>
        <v>0</v>
      </c>
      <c r="I100" s="9">
        <f t="shared" si="18"/>
        <v>0</v>
      </c>
      <c r="J100" s="3">
        <f t="shared" si="19"/>
        <v>0</v>
      </c>
      <c r="K100" s="3">
        <f t="shared" si="20"/>
        <v>1</v>
      </c>
      <c r="L100" s="3">
        <f t="shared" si="21"/>
        <v>0</v>
      </c>
      <c r="M100" s="10">
        <f t="shared" si="22"/>
        <v>0</v>
      </c>
      <c r="N100" s="11">
        <f t="shared" si="23"/>
        <v>0</v>
      </c>
    </row>
    <row r="101" spans="1:14" x14ac:dyDescent="0.3">
      <c r="A101" s="3">
        <f t="shared" si="12"/>
        <v>99</v>
      </c>
      <c r="B101" s="3" t="s">
        <v>8</v>
      </c>
      <c r="C101" s="3" t="s">
        <v>8</v>
      </c>
      <c r="D101" s="9">
        <f t="shared" si="13"/>
        <v>1</v>
      </c>
      <c r="E101" s="3">
        <f t="shared" si="14"/>
        <v>0</v>
      </c>
      <c r="F101" s="3">
        <f t="shared" si="15"/>
        <v>0</v>
      </c>
      <c r="G101" s="3">
        <f t="shared" si="16"/>
        <v>0</v>
      </c>
      <c r="H101" s="10">
        <f t="shared" si="17"/>
        <v>0</v>
      </c>
      <c r="I101" s="9">
        <f t="shared" si="18"/>
        <v>1</v>
      </c>
      <c r="J101" s="3">
        <f t="shared" si="19"/>
        <v>0</v>
      </c>
      <c r="K101" s="3">
        <f t="shared" si="20"/>
        <v>0</v>
      </c>
      <c r="L101" s="3">
        <f t="shared" si="21"/>
        <v>0</v>
      </c>
      <c r="M101" s="10">
        <f t="shared" si="22"/>
        <v>0</v>
      </c>
      <c r="N101" s="11">
        <f t="shared" si="23"/>
        <v>0</v>
      </c>
    </row>
    <row r="102" spans="1:14" x14ac:dyDescent="0.3">
      <c r="A102" s="3">
        <f t="shared" si="12"/>
        <v>100</v>
      </c>
      <c r="B102" s="3" t="s">
        <v>17</v>
      </c>
      <c r="C102" s="3" t="s">
        <v>4</v>
      </c>
      <c r="D102" s="9">
        <f t="shared" si="13"/>
        <v>0</v>
      </c>
      <c r="E102" s="3">
        <f t="shared" si="14"/>
        <v>0</v>
      </c>
      <c r="F102" s="3">
        <f t="shared" si="15"/>
        <v>0</v>
      </c>
      <c r="G102" s="3">
        <f t="shared" si="16"/>
        <v>0</v>
      </c>
      <c r="H102" s="10">
        <f t="shared" si="17"/>
        <v>1</v>
      </c>
      <c r="I102" s="9">
        <f t="shared" si="18"/>
        <v>0</v>
      </c>
      <c r="J102" s="3">
        <f t="shared" si="19"/>
        <v>0</v>
      </c>
      <c r="K102" s="3">
        <f t="shared" si="20"/>
        <v>1</v>
      </c>
      <c r="L102" s="3">
        <f t="shared" si="21"/>
        <v>0</v>
      </c>
      <c r="M102" s="10">
        <f t="shared" si="22"/>
        <v>0</v>
      </c>
      <c r="N102" s="11">
        <f t="shared" si="23"/>
        <v>0</v>
      </c>
    </row>
    <row r="103" spans="1:14" x14ac:dyDescent="0.3">
      <c r="A103" s="3">
        <f t="shared" si="12"/>
        <v>101</v>
      </c>
      <c r="B103" s="3" t="s">
        <v>3</v>
      </c>
      <c r="C103" s="3" t="s">
        <v>3</v>
      </c>
      <c r="D103" s="9">
        <f t="shared" si="13"/>
        <v>0</v>
      </c>
      <c r="E103" s="3">
        <f t="shared" si="14"/>
        <v>1</v>
      </c>
      <c r="F103" s="3">
        <f t="shared" si="15"/>
        <v>0</v>
      </c>
      <c r="G103" s="3">
        <f t="shared" si="16"/>
        <v>0</v>
      </c>
      <c r="H103" s="10">
        <f t="shared" si="17"/>
        <v>0</v>
      </c>
      <c r="I103" s="9">
        <f t="shared" si="18"/>
        <v>0</v>
      </c>
      <c r="J103" s="3">
        <f t="shared" si="19"/>
        <v>1</v>
      </c>
      <c r="K103" s="3">
        <f t="shared" si="20"/>
        <v>0</v>
      </c>
      <c r="L103" s="3">
        <f t="shared" si="21"/>
        <v>0</v>
      </c>
      <c r="M103" s="10">
        <f t="shared" si="22"/>
        <v>0</v>
      </c>
      <c r="N103" s="11">
        <f t="shared" si="23"/>
        <v>0</v>
      </c>
    </row>
    <row r="104" spans="1:14" x14ac:dyDescent="0.3">
      <c r="A104" s="3">
        <f t="shared" si="12"/>
        <v>102</v>
      </c>
      <c r="B104" s="3" t="s">
        <v>16</v>
      </c>
      <c r="C104" s="3" t="s">
        <v>4</v>
      </c>
      <c r="D104" s="9">
        <f t="shared" si="13"/>
        <v>0</v>
      </c>
      <c r="E104" s="3">
        <f t="shared" si="14"/>
        <v>0</v>
      </c>
      <c r="F104" s="3">
        <f t="shared" si="15"/>
        <v>0</v>
      </c>
      <c r="G104" s="3">
        <f t="shared" si="16"/>
        <v>1</v>
      </c>
      <c r="H104" s="10">
        <f t="shared" si="17"/>
        <v>0</v>
      </c>
      <c r="I104" s="9">
        <f t="shared" si="18"/>
        <v>0</v>
      </c>
      <c r="J104" s="3">
        <f t="shared" si="19"/>
        <v>0</v>
      </c>
      <c r="K104" s="3">
        <f t="shared" si="20"/>
        <v>1</v>
      </c>
      <c r="L104" s="3">
        <f t="shared" si="21"/>
        <v>0</v>
      </c>
      <c r="M104" s="10">
        <f t="shared" si="22"/>
        <v>0</v>
      </c>
      <c r="N104" s="11">
        <f t="shared" si="23"/>
        <v>0</v>
      </c>
    </row>
    <row r="105" spans="1:14" x14ac:dyDescent="0.3">
      <c r="A105" s="3">
        <f t="shared" si="12"/>
        <v>103</v>
      </c>
      <c r="B105" s="3" t="s">
        <v>3</v>
      </c>
      <c r="C105" s="3" t="s">
        <v>3</v>
      </c>
      <c r="D105" s="9">
        <f t="shared" si="13"/>
        <v>0</v>
      </c>
      <c r="E105" s="3">
        <f t="shared" si="14"/>
        <v>1</v>
      </c>
      <c r="F105" s="3">
        <f t="shared" si="15"/>
        <v>0</v>
      </c>
      <c r="G105" s="3">
        <f t="shared" si="16"/>
        <v>0</v>
      </c>
      <c r="H105" s="10">
        <f t="shared" si="17"/>
        <v>0</v>
      </c>
      <c r="I105" s="9">
        <f t="shared" si="18"/>
        <v>0</v>
      </c>
      <c r="J105" s="3">
        <f t="shared" si="19"/>
        <v>1</v>
      </c>
      <c r="K105" s="3">
        <f t="shared" si="20"/>
        <v>0</v>
      </c>
      <c r="L105" s="3">
        <f t="shared" si="21"/>
        <v>0</v>
      </c>
      <c r="M105" s="10">
        <f t="shared" si="22"/>
        <v>0</v>
      </c>
      <c r="N105" s="11">
        <f t="shared" si="23"/>
        <v>0</v>
      </c>
    </row>
    <row r="106" spans="1:14" x14ac:dyDescent="0.3">
      <c r="A106" s="3">
        <f t="shared" si="12"/>
        <v>104</v>
      </c>
      <c r="B106" s="3" t="s">
        <v>17</v>
      </c>
      <c r="C106" s="3" t="s">
        <v>4</v>
      </c>
      <c r="D106" s="9">
        <f t="shared" si="13"/>
        <v>0</v>
      </c>
      <c r="E106" s="3">
        <f t="shared" si="14"/>
        <v>0</v>
      </c>
      <c r="F106" s="3">
        <f t="shared" si="15"/>
        <v>0</v>
      </c>
      <c r="G106" s="3">
        <f t="shared" si="16"/>
        <v>0</v>
      </c>
      <c r="H106" s="10">
        <f t="shared" si="17"/>
        <v>1</v>
      </c>
      <c r="I106" s="9">
        <f t="shared" si="18"/>
        <v>0</v>
      </c>
      <c r="J106" s="3">
        <f t="shared" si="19"/>
        <v>0</v>
      </c>
      <c r="K106" s="3">
        <f t="shared" si="20"/>
        <v>1</v>
      </c>
      <c r="L106" s="3">
        <f t="shared" si="21"/>
        <v>0</v>
      </c>
      <c r="M106" s="10">
        <f t="shared" si="22"/>
        <v>0</v>
      </c>
      <c r="N106" s="11">
        <f t="shared" si="23"/>
        <v>0</v>
      </c>
    </row>
    <row r="107" spans="1:14" x14ac:dyDescent="0.3">
      <c r="A107" s="3">
        <f t="shared" si="12"/>
        <v>105</v>
      </c>
      <c r="B107" s="3" t="s">
        <v>17</v>
      </c>
      <c r="C107" s="3" t="s">
        <v>4</v>
      </c>
      <c r="D107" s="9">
        <f t="shared" si="13"/>
        <v>0</v>
      </c>
      <c r="E107" s="3">
        <f t="shared" si="14"/>
        <v>0</v>
      </c>
      <c r="F107" s="3">
        <f t="shared" si="15"/>
        <v>0</v>
      </c>
      <c r="G107" s="3">
        <f t="shared" si="16"/>
        <v>0</v>
      </c>
      <c r="H107" s="10">
        <f t="shared" si="17"/>
        <v>1</v>
      </c>
      <c r="I107" s="9">
        <f t="shared" si="18"/>
        <v>0</v>
      </c>
      <c r="J107" s="3">
        <f t="shared" si="19"/>
        <v>0</v>
      </c>
      <c r="K107" s="3">
        <f t="shared" si="20"/>
        <v>1</v>
      </c>
      <c r="L107" s="3">
        <f t="shared" si="21"/>
        <v>0</v>
      </c>
      <c r="M107" s="10">
        <f t="shared" si="22"/>
        <v>0</v>
      </c>
      <c r="N107" s="11">
        <f t="shared" si="23"/>
        <v>0</v>
      </c>
    </row>
    <row r="108" spans="1:14" x14ac:dyDescent="0.3">
      <c r="A108" s="3">
        <f t="shared" si="12"/>
        <v>106</v>
      </c>
      <c r="B108" s="3" t="s">
        <v>16</v>
      </c>
      <c r="C108" s="3" t="s">
        <v>4</v>
      </c>
      <c r="D108" s="9">
        <f t="shared" si="13"/>
        <v>0</v>
      </c>
      <c r="E108" s="3">
        <f t="shared" si="14"/>
        <v>0</v>
      </c>
      <c r="F108" s="3">
        <f t="shared" si="15"/>
        <v>0</v>
      </c>
      <c r="G108" s="3">
        <f t="shared" si="16"/>
        <v>1</v>
      </c>
      <c r="H108" s="10">
        <f t="shared" si="17"/>
        <v>0</v>
      </c>
      <c r="I108" s="9">
        <f t="shared" si="18"/>
        <v>0</v>
      </c>
      <c r="J108" s="3">
        <f t="shared" si="19"/>
        <v>0</v>
      </c>
      <c r="K108" s="3">
        <f t="shared" si="20"/>
        <v>1</v>
      </c>
      <c r="L108" s="3">
        <f t="shared" si="21"/>
        <v>0</v>
      </c>
      <c r="M108" s="10">
        <f t="shared" si="22"/>
        <v>0</v>
      </c>
      <c r="N108" s="11">
        <f t="shared" si="23"/>
        <v>0</v>
      </c>
    </row>
    <row r="109" spans="1:14" x14ac:dyDescent="0.3">
      <c r="A109" s="3">
        <f t="shared" si="12"/>
        <v>107</v>
      </c>
      <c r="B109" s="3" t="s">
        <v>16</v>
      </c>
      <c r="C109" s="3" t="s">
        <v>4</v>
      </c>
      <c r="D109" s="9">
        <f t="shared" si="13"/>
        <v>0</v>
      </c>
      <c r="E109" s="3">
        <f t="shared" si="14"/>
        <v>0</v>
      </c>
      <c r="F109" s="3">
        <f t="shared" si="15"/>
        <v>0</v>
      </c>
      <c r="G109" s="3">
        <f t="shared" si="16"/>
        <v>1</v>
      </c>
      <c r="H109" s="10">
        <f t="shared" si="17"/>
        <v>0</v>
      </c>
      <c r="I109" s="9">
        <f t="shared" si="18"/>
        <v>0</v>
      </c>
      <c r="J109" s="3">
        <f t="shared" si="19"/>
        <v>0</v>
      </c>
      <c r="K109" s="3">
        <f t="shared" si="20"/>
        <v>1</v>
      </c>
      <c r="L109" s="3">
        <f t="shared" si="21"/>
        <v>0</v>
      </c>
      <c r="M109" s="10">
        <f t="shared" si="22"/>
        <v>0</v>
      </c>
      <c r="N109" s="11">
        <f t="shared" si="23"/>
        <v>0</v>
      </c>
    </row>
    <row r="110" spans="1:14" x14ac:dyDescent="0.3">
      <c r="A110" s="3">
        <f t="shared" si="12"/>
        <v>108</v>
      </c>
      <c r="B110" s="3" t="s">
        <v>4</v>
      </c>
      <c r="C110" s="3" t="s">
        <v>4</v>
      </c>
      <c r="D110" s="9">
        <f t="shared" si="13"/>
        <v>0</v>
      </c>
      <c r="E110" s="3">
        <f t="shared" si="14"/>
        <v>0</v>
      </c>
      <c r="F110" s="3">
        <f t="shared" si="15"/>
        <v>1</v>
      </c>
      <c r="G110" s="3">
        <f t="shared" si="16"/>
        <v>0</v>
      </c>
      <c r="H110" s="10">
        <f t="shared" si="17"/>
        <v>0</v>
      </c>
      <c r="I110" s="9">
        <f t="shared" si="18"/>
        <v>0</v>
      </c>
      <c r="J110" s="3">
        <f t="shared" si="19"/>
        <v>0</v>
      </c>
      <c r="K110" s="3">
        <f t="shared" si="20"/>
        <v>1</v>
      </c>
      <c r="L110" s="3">
        <f t="shared" si="21"/>
        <v>0</v>
      </c>
      <c r="M110" s="10">
        <f t="shared" si="22"/>
        <v>0</v>
      </c>
      <c r="N110" s="11">
        <f t="shared" si="23"/>
        <v>0</v>
      </c>
    </row>
    <row r="111" spans="1:14" x14ac:dyDescent="0.3">
      <c r="A111" s="3">
        <f t="shared" si="12"/>
        <v>109</v>
      </c>
      <c r="B111" s="3" t="s">
        <v>16</v>
      </c>
      <c r="C111" s="3" t="s">
        <v>4</v>
      </c>
      <c r="D111" s="9">
        <f t="shared" si="13"/>
        <v>0</v>
      </c>
      <c r="E111" s="3">
        <f t="shared" si="14"/>
        <v>0</v>
      </c>
      <c r="F111" s="3">
        <f t="shared" si="15"/>
        <v>0</v>
      </c>
      <c r="G111" s="3">
        <f t="shared" si="16"/>
        <v>1</v>
      </c>
      <c r="H111" s="10">
        <f t="shared" si="17"/>
        <v>0</v>
      </c>
      <c r="I111" s="9">
        <f t="shared" si="18"/>
        <v>0</v>
      </c>
      <c r="J111" s="3">
        <f t="shared" si="19"/>
        <v>0</v>
      </c>
      <c r="K111" s="3">
        <f t="shared" si="20"/>
        <v>1</v>
      </c>
      <c r="L111" s="3">
        <f t="shared" si="21"/>
        <v>0</v>
      </c>
      <c r="M111" s="10">
        <f t="shared" si="22"/>
        <v>0</v>
      </c>
      <c r="N111" s="11">
        <f t="shared" si="23"/>
        <v>0</v>
      </c>
    </row>
    <row r="112" spans="1:14" x14ac:dyDescent="0.3">
      <c r="A112" s="3">
        <f t="shared" si="12"/>
        <v>110</v>
      </c>
      <c r="B112" s="3" t="s">
        <v>4</v>
      </c>
      <c r="C112" s="3" t="s">
        <v>4</v>
      </c>
      <c r="D112" s="9">
        <f t="shared" si="13"/>
        <v>0</v>
      </c>
      <c r="E112" s="3">
        <f t="shared" si="14"/>
        <v>0</v>
      </c>
      <c r="F112" s="3">
        <f t="shared" si="15"/>
        <v>1</v>
      </c>
      <c r="G112" s="3">
        <f t="shared" si="16"/>
        <v>0</v>
      </c>
      <c r="H112" s="10">
        <f t="shared" si="17"/>
        <v>0</v>
      </c>
      <c r="I112" s="9">
        <f t="shared" si="18"/>
        <v>0</v>
      </c>
      <c r="J112" s="3">
        <f t="shared" si="19"/>
        <v>0</v>
      </c>
      <c r="K112" s="3">
        <f t="shared" si="20"/>
        <v>1</v>
      </c>
      <c r="L112" s="3">
        <f t="shared" si="21"/>
        <v>0</v>
      </c>
      <c r="M112" s="10">
        <f t="shared" si="22"/>
        <v>0</v>
      </c>
      <c r="N112" s="11">
        <f t="shared" si="23"/>
        <v>0</v>
      </c>
    </row>
    <row r="113" spans="1:14" x14ac:dyDescent="0.3">
      <c r="A113" s="3">
        <f t="shared" si="12"/>
        <v>111</v>
      </c>
      <c r="B113" s="3" t="s">
        <v>8</v>
      </c>
      <c r="C113" s="3" t="s">
        <v>3</v>
      </c>
      <c r="D113" s="9">
        <f t="shared" si="13"/>
        <v>1</v>
      </c>
      <c r="E113" s="3">
        <f t="shared" si="14"/>
        <v>0</v>
      </c>
      <c r="F113" s="3">
        <f t="shared" si="15"/>
        <v>0</v>
      </c>
      <c r="G113" s="3">
        <f t="shared" si="16"/>
        <v>0</v>
      </c>
      <c r="H113" s="10">
        <f t="shared" si="17"/>
        <v>0</v>
      </c>
      <c r="I113" s="9">
        <f t="shared" si="18"/>
        <v>0</v>
      </c>
      <c r="J113" s="3">
        <f t="shared" si="19"/>
        <v>1</v>
      </c>
      <c r="K113" s="3">
        <f t="shared" si="20"/>
        <v>0</v>
      </c>
      <c r="L113" s="3">
        <f t="shared" si="21"/>
        <v>0</v>
      </c>
      <c r="M113" s="10">
        <f t="shared" si="22"/>
        <v>0</v>
      </c>
      <c r="N113" s="11">
        <f t="shared" si="23"/>
        <v>0</v>
      </c>
    </row>
    <row r="114" spans="1:14" x14ac:dyDescent="0.3">
      <c r="A114" s="3">
        <f t="shared" si="12"/>
        <v>112</v>
      </c>
      <c r="B114" s="3" t="s">
        <v>4</v>
      </c>
      <c r="C114" s="3" t="s">
        <v>4</v>
      </c>
      <c r="D114" s="9">
        <f t="shared" si="13"/>
        <v>0</v>
      </c>
      <c r="E114" s="3">
        <f t="shared" si="14"/>
        <v>0</v>
      </c>
      <c r="F114" s="3">
        <f t="shared" si="15"/>
        <v>1</v>
      </c>
      <c r="G114" s="3">
        <f t="shared" si="16"/>
        <v>0</v>
      </c>
      <c r="H114" s="10">
        <f t="shared" si="17"/>
        <v>0</v>
      </c>
      <c r="I114" s="9">
        <f t="shared" si="18"/>
        <v>0</v>
      </c>
      <c r="J114" s="3">
        <f t="shared" si="19"/>
        <v>0</v>
      </c>
      <c r="K114" s="3">
        <f t="shared" si="20"/>
        <v>1</v>
      </c>
      <c r="L114" s="3">
        <f t="shared" si="21"/>
        <v>0</v>
      </c>
      <c r="M114" s="10">
        <f t="shared" si="22"/>
        <v>0</v>
      </c>
      <c r="N114" s="11">
        <f t="shared" si="23"/>
        <v>0</v>
      </c>
    </row>
    <row r="115" spans="1:14" x14ac:dyDescent="0.3">
      <c r="A115" s="3">
        <f t="shared" si="12"/>
        <v>113</v>
      </c>
      <c r="B115" s="3" t="s">
        <v>17</v>
      </c>
      <c r="C115" s="3" t="s">
        <v>4</v>
      </c>
      <c r="D115" s="9">
        <f t="shared" si="13"/>
        <v>0</v>
      </c>
      <c r="E115" s="3">
        <f t="shared" si="14"/>
        <v>0</v>
      </c>
      <c r="F115" s="3">
        <f t="shared" si="15"/>
        <v>0</v>
      </c>
      <c r="G115" s="3">
        <f t="shared" si="16"/>
        <v>0</v>
      </c>
      <c r="H115" s="10">
        <f t="shared" si="17"/>
        <v>1</v>
      </c>
      <c r="I115" s="9">
        <f t="shared" si="18"/>
        <v>0</v>
      </c>
      <c r="J115" s="3">
        <f t="shared" si="19"/>
        <v>0</v>
      </c>
      <c r="K115" s="3">
        <f t="shared" si="20"/>
        <v>1</v>
      </c>
      <c r="L115" s="3">
        <f t="shared" si="21"/>
        <v>0</v>
      </c>
      <c r="M115" s="10">
        <f t="shared" si="22"/>
        <v>0</v>
      </c>
      <c r="N115" s="11">
        <f t="shared" si="23"/>
        <v>0</v>
      </c>
    </row>
    <row r="116" spans="1:14" x14ac:dyDescent="0.3">
      <c r="A116" s="3">
        <f t="shared" si="12"/>
        <v>114</v>
      </c>
      <c r="B116" s="3" t="s">
        <v>16</v>
      </c>
      <c r="C116" s="3" t="s">
        <v>4</v>
      </c>
      <c r="D116" s="9">
        <f t="shared" si="13"/>
        <v>0</v>
      </c>
      <c r="E116" s="3">
        <f t="shared" si="14"/>
        <v>0</v>
      </c>
      <c r="F116" s="3">
        <f t="shared" si="15"/>
        <v>0</v>
      </c>
      <c r="G116" s="3">
        <f t="shared" si="16"/>
        <v>1</v>
      </c>
      <c r="H116" s="10">
        <f t="shared" si="17"/>
        <v>0</v>
      </c>
      <c r="I116" s="9">
        <f t="shared" si="18"/>
        <v>0</v>
      </c>
      <c r="J116" s="3">
        <f t="shared" si="19"/>
        <v>0</v>
      </c>
      <c r="K116" s="3">
        <f t="shared" si="20"/>
        <v>1</v>
      </c>
      <c r="L116" s="3">
        <f t="shared" si="21"/>
        <v>0</v>
      </c>
      <c r="M116" s="10">
        <f t="shared" si="22"/>
        <v>0</v>
      </c>
      <c r="N116" s="11">
        <f t="shared" si="23"/>
        <v>0</v>
      </c>
    </row>
    <row r="117" spans="1:14" x14ac:dyDescent="0.3">
      <c r="A117" s="3">
        <f t="shared" si="12"/>
        <v>115</v>
      </c>
      <c r="B117" s="3" t="s">
        <v>16</v>
      </c>
      <c r="C117" s="3" t="s">
        <v>4</v>
      </c>
      <c r="D117" s="9">
        <f t="shared" si="13"/>
        <v>0</v>
      </c>
      <c r="E117" s="3">
        <f t="shared" si="14"/>
        <v>0</v>
      </c>
      <c r="F117" s="3">
        <f t="shared" si="15"/>
        <v>0</v>
      </c>
      <c r="G117" s="3">
        <f t="shared" si="16"/>
        <v>1</v>
      </c>
      <c r="H117" s="10">
        <f t="shared" si="17"/>
        <v>0</v>
      </c>
      <c r="I117" s="9">
        <f t="shared" si="18"/>
        <v>0</v>
      </c>
      <c r="J117" s="3">
        <f t="shared" si="19"/>
        <v>0</v>
      </c>
      <c r="K117" s="3">
        <f t="shared" si="20"/>
        <v>1</v>
      </c>
      <c r="L117" s="3">
        <f t="shared" si="21"/>
        <v>0</v>
      </c>
      <c r="M117" s="10">
        <f t="shared" si="22"/>
        <v>0</v>
      </c>
      <c r="N117" s="11">
        <f t="shared" si="23"/>
        <v>0</v>
      </c>
    </row>
    <row r="118" spans="1:14" x14ac:dyDescent="0.3">
      <c r="A118" s="3">
        <f t="shared" si="12"/>
        <v>116</v>
      </c>
      <c r="B118" s="3" t="s">
        <v>16</v>
      </c>
      <c r="C118" s="3" t="s">
        <v>4</v>
      </c>
      <c r="D118" s="9">
        <f t="shared" si="13"/>
        <v>0</v>
      </c>
      <c r="E118" s="3">
        <f t="shared" si="14"/>
        <v>0</v>
      </c>
      <c r="F118" s="3">
        <f t="shared" si="15"/>
        <v>0</v>
      </c>
      <c r="G118" s="3">
        <f t="shared" si="16"/>
        <v>1</v>
      </c>
      <c r="H118" s="10">
        <f t="shared" si="17"/>
        <v>0</v>
      </c>
      <c r="I118" s="9">
        <f t="shared" si="18"/>
        <v>0</v>
      </c>
      <c r="J118" s="3">
        <f t="shared" si="19"/>
        <v>0</v>
      </c>
      <c r="K118" s="3">
        <f t="shared" si="20"/>
        <v>1</v>
      </c>
      <c r="L118" s="3">
        <f t="shared" si="21"/>
        <v>0</v>
      </c>
      <c r="M118" s="10">
        <f t="shared" si="22"/>
        <v>0</v>
      </c>
      <c r="N118" s="11">
        <f t="shared" si="23"/>
        <v>0</v>
      </c>
    </row>
    <row r="119" spans="1:14" x14ac:dyDescent="0.3">
      <c r="A119" s="3">
        <f t="shared" si="12"/>
        <v>117</v>
      </c>
      <c r="B119" s="3" t="s">
        <v>17</v>
      </c>
      <c r="C119" s="3" t="s">
        <v>4</v>
      </c>
      <c r="D119" s="9">
        <f t="shared" si="13"/>
        <v>0</v>
      </c>
      <c r="E119" s="3">
        <f t="shared" si="14"/>
        <v>0</v>
      </c>
      <c r="F119" s="3">
        <f t="shared" si="15"/>
        <v>0</v>
      </c>
      <c r="G119" s="3">
        <f t="shared" si="16"/>
        <v>0</v>
      </c>
      <c r="H119" s="10">
        <f t="shared" si="17"/>
        <v>1</v>
      </c>
      <c r="I119" s="9">
        <f t="shared" si="18"/>
        <v>0</v>
      </c>
      <c r="J119" s="3">
        <f t="shared" si="19"/>
        <v>0</v>
      </c>
      <c r="K119" s="3">
        <f t="shared" si="20"/>
        <v>1</v>
      </c>
      <c r="L119" s="3">
        <f t="shared" si="21"/>
        <v>0</v>
      </c>
      <c r="M119" s="10">
        <f t="shared" si="22"/>
        <v>0</v>
      </c>
      <c r="N119" s="11">
        <f t="shared" si="23"/>
        <v>0</v>
      </c>
    </row>
    <row r="120" spans="1:14" x14ac:dyDescent="0.3">
      <c r="A120" s="3">
        <f t="shared" si="12"/>
        <v>118</v>
      </c>
      <c r="B120" s="3" t="s">
        <v>4</v>
      </c>
      <c r="C120" s="3" t="s">
        <v>4</v>
      </c>
      <c r="D120" s="9">
        <f t="shared" si="13"/>
        <v>0</v>
      </c>
      <c r="E120" s="3">
        <f t="shared" si="14"/>
        <v>0</v>
      </c>
      <c r="F120" s="3">
        <f t="shared" si="15"/>
        <v>1</v>
      </c>
      <c r="G120" s="3">
        <f t="shared" si="16"/>
        <v>0</v>
      </c>
      <c r="H120" s="10">
        <f t="shared" si="17"/>
        <v>0</v>
      </c>
      <c r="I120" s="9">
        <f t="shared" si="18"/>
        <v>0</v>
      </c>
      <c r="J120" s="3">
        <f t="shared" si="19"/>
        <v>0</v>
      </c>
      <c r="K120" s="3">
        <f t="shared" si="20"/>
        <v>1</v>
      </c>
      <c r="L120" s="3">
        <f t="shared" si="21"/>
        <v>0</v>
      </c>
      <c r="M120" s="10">
        <f t="shared" si="22"/>
        <v>0</v>
      </c>
      <c r="N120" s="11">
        <f t="shared" si="23"/>
        <v>0</v>
      </c>
    </row>
    <row r="121" spans="1:14" x14ac:dyDescent="0.3">
      <c r="A121" s="3">
        <f t="shared" si="12"/>
        <v>119</v>
      </c>
      <c r="B121" s="3" t="s">
        <v>8</v>
      </c>
      <c r="C121" s="3" t="s">
        <v>8</v>
      </c>
      <c r="D121" s="9">
        <f t="shared" si="13"/>
        <v>1</v>
      </c>
      <c r="E121" s="3">
        <f t="shared" si="14"/>
        <v>0</v>
      </c>
      <c r="F121" s="3">
        <f t="shared" si="15"/>
        <v>0</v>
      </c>
      <c r="G121" s="3">
        <f t="shared" si="16"/>
        <v>0</v>
      </c>
      <c r="H121" s="10">
        <f t="shared" si="17"/>
        <v>0</v>
      </c>
      <c r="I121" s="9">
        <f t="shared" si="18"/>
        <v>1</v>
      </c>
      <c r="J121" s="3">
        <f t="shared" si="19"/>
        <v>0</v>
      </c>
      <c r="K121" s="3">
        <f t="shared" si="20"/>
        <v>0</v>
      </c>
      <c r="L121" s="3">
        <f t="shared" si="21"/>
        <v>0</v>
      </c>
      <c r="M121" s="10">
        <f t="shared" si="22"/>
        <v>0</v>
      </c>
      <c r="N121" s="11">
        <f t="shared" si="23"/>
        <v>0</v>
      </c>
    </row>
    <row r="122" spans="1:14" x14ac:dyDescent="0.3">
      <c r="A122" s="3">
        <f t="shared" si="12"/>
        <v>120</v>
      </c>
      <c r="B122" s="3" t="s">
        <v>8</v>
      </c>
      <c r="C122" s="3" t="s">
        <v>3</v>
      </c>
      <c r="D122" s="9">
        <f t="shared" si="13"/>
        <v>1</v>
      </c>
      <c r="E122" s="3">
        <f t="shared" si="14"/>
        <v>0</v>
      </c>
      <c r="F122" s="3">
        <f t="shared" si="15"/>
        <v>0</v>
      </c>
      <c r="G122" s="3">
        <f t="shared" si="16"/>
        <v>0</v>
      </c>
      <c r="H122" s="10">
        <f t="shared" si="17"/>
        <v>0</v>
      </c>
      <c r="I122" s="9">
        <f t="shared" si="18"/>
        <v>0</v>
      </c>
      <c r="J122" s="3">
        <f t="shared" si="19"/>
        <v>1</v>
      </c>
      <c r="K122" s="3">
        <f t="shared" si="20"/>
        <v>0</v>
      </c>
      <c r="L122" s="3">
        <f t="shared" si="21"/>
        <v>0</v>
      </c>
      <c r="M122" s="10">
        <f t="shared" si="22"/>
        <v>0</v>
      </c>
      <c r="N122" s="11">
        <f t="shared" si="23"/>
        <v>0</v>
      </c>
    </row>
    <row r="123" spans="1:14" x14ac:dyDescent="0.3">
      <c r="A123" s="3">
        <f t="shared" si="12"/>
        <v>121</v>
      </c>
      <c r="B123" s="3" t="s">
        <v>17</v>
      </c>
      <c r="C123" s="3" t="s">
        <v>4</v>
      </c>
      <c r="D123" s="9">
        <f t="shared" si="13"/>
        <v>0</v>
      </c>
      <c r="E123" s="3">
        <f t="shared" si="14"/>
        <v>0</v>
      </c>
      <c r="F123" s="3">
        <f t="shared" si="15"/>
        <v>0</v>
      </c>
      <c r="G123" s="3">
        <f t="shared" si="16"/>
        <v>0</v>
      </c>
      <c r="H123" s="10">
        <f t="shared" si="17"/>
        <v>1</v>
      </c>
      <c r="I123" s="9">
        <f t="shared" si="18"/>
        <v>0</v>
      </c>
      <c r="J123" s="3">
        <f t="shared" si="19"/>
        <v>0</v>
      </c>
      <c r="K123" s="3">
        <f t="shared" si="20"/>
        <v>1</v>
      </c>
      <c r="L123" s="3">
        <f t="shared" si="21"/>
        <v>0</v>
      </c>
      <c r="M123" s="10">
        <f t="shared" si="22"/>
        <v>0</v>
      </c>
      <c r="N123" s="11">
        <f t="shared" si="23"/>
        <v>0</v>
      </c>
    </row>
    <row r="124" spans="1:14" x14ac:dyDescent="0.3">
      <c r="A124" s="3">
        <f t="shared" si="12"/>
        <v>122</v>
      </c>
      <c r="B124" s="3" t="s">
        <v>16</v>
      </c>
      <c r="C124" s="3" t="s">
        <v>19</v>
      </c>
      <c r="D124" s="9">
        <f t="shared" si="13"/>
        <v>0</v>
      </c>
      <c r="E124" s="3">
        <f t="shared" si="14"/>
        <v>0</v>
      </c>
      <c r="F124" s="3">
        <f t="shared" si="15"/>
        <v>0</v>
      </c>
      <c r="G124" s="3">
        <f t="shared" si="16"/>
        <v>1</v>
      </c>
      <c r="H124" s="10">
        <f t="shared" si="17"/>
        <v>0</v>
      </c>
      <c r="I124" s="9">
        <f t="shared" si="18"/>
        <v>0</v>
      </c>
      <c r="J124" s="3">
        <f t="shared" si="19"/>
        <v>0</v>
      </c>
      <c r="K124" s="3">
        <f t="shared" si="20"/>
        <v>0</v>
      </c>
      <c r="L124" s="3">
        <f t="shared" si="21"/>
        <v>0</v>
      </c>
      <c r="M124" s="10">
        <f t="shared" si="22"/>
        <v>0</v>
      </c>
      <c r="N124" s="11">
        <f t="shared" si="23"/>
        <v>1</v>
      </c>
    </row>
    <row r="125" spans="1:14" x14ac:dyDescent="0.3">
      <c r="A125" s="3">
        <f t="shared" si="12"/>
        <v>123</v>
      </c>
      <c r="B125" s="3" t="s">
        <v>4</v>
      </c>
      <c r="C125" s="3" t="s">
        <v>4</v>
      </c>
      <c r="D125" s="9">
        <f t="shared" si="13"/>
        <v>0</v>
      </c>
      <c r="E125" s="3">
        <f t="shared" si="14"/>
        <v>0</v>
      </c>
      <c r="F125" s="3">
        <f t="shared" si="15"/>
        <v>1</v>
      </c>
      <c r="G125" s="3">
        <f t="shared" si="16"/>
        <v>0</v>
      </c>
      <c r="H125" s="10">
        <f t="shared" si="17"/>
        <v>0</v>
      </c>
      <c r="I125" s="9">
        <f t="shared" si="18"/>
        <v>0</v>
      </c>
      <c r="J125" s="3">
        <f t="shared" si="19"/>
        <v>0</v>
      </c>
      <c r="K125" s="3">
        <f t="shared" si="20"/>
        <v>1</v>
      </c>
      <c r="L125" s="3">
        <f t="shared" si="21"/>
        <v>0</v>
      </c>
      <c r="M125" s="10">
        <f t="shared" si="22"/>
        <v>0</v>
      </c>
      <c r="N125" s="11">
        <f t="shared" si="23"/>
        <v>0</v>
      </c>
    </row>
    <row r="126" spans="1:14" x14ac:dyDescent="0.3">
      <c r="A126" s="3">
        <f t="shared" si="12"/>
        <v>124</v>
      </c>
      <c r="B126" s="3" t="s">
        <v>17</v>
      </c>
      <c r="C126" s="3" t="s">
        <v>4</v>
      </c>
      <c r="D126" s="9">
        <f t="shared" si="13"/>
        <v>0</v>
      </c>
      <c r="E126" s="3">
        <f t="shared" si="14"/>
        <v>0</v>
      </c>
      <c r="F126" s="3">
        <f t="shared" si="15"/>
        <v>0</v>
      </c>
      <c r="G126" s="3">
        <f t="shared" si="16"/>
        <v>0</v>
      </c>
      <c r="H126" s="10">
        <f t="shared" si="17"/>
        <v>1</v>
      </c>
      <c r="I126" s="9">
        <f t="shared" si="18"/>
        <v>0</v>
      </c>
      <c r="J126" s="3">
        <f t="shared" si="19"/>
        <v>0</v>
      </c>
      <c r="K126" s="3">
        <f t="shared" si="20"/>
        <v>1</v>
      </c>
      <c r="L126" s="3">
        <f t="shared" si="21"/>
        <v>0</v>
      </c>
      <c r="M126" s="10">
        <f t="shared" si="22"/>
        <v>0</v>
      </c>
      <c r="N126" s="11">
        <f t="shared" si="23"/>
        <v>0</v>
      </c>
    </row>
    <row r="127" spans="1:14" x14ac:dyDescent="0.3">
      <c r="A127" s="3">
        <f t="shared" si="12"/>
        <v>125</v>
      </c>
      <c r="B127" s="3" t="s">
        <v>17</v>
      </c>
      <c r="C127" s="3" t="s">
        <v>4</v>
      </c>
      <c r="D127" s="9">
        <f t="shared" si="13"/>
        <v>0</v>
      </c>
      <c r="E127" s="3">
        <f t="shared" si="14"/>
        <v>0</v>
      </c>
      <c r="F127" s="3">
        <f t="shared" si="15"/>
        <v>0</v>
      </c>
      <c r="G127" s="3">
        <f t="shared" si="16"/>
        <v>0</v>
      </c>
      <c r="H127" s="10">
        <f t="shared" si="17"/>
        <v>1</v>
      </c>
      <c r="I127" s="9">
        <f t="shared" si="18"/>
        <v>0</v>
      </c>
      <c r="J127" s="3">
        <f t="shared" si="19"/>
        <v>0</v>
      </c>
      <c r="K127" s="3">
        <f t="shared" si="20"/>
        <v>1</v>
      </c>
      <c r="L127" s="3">
        <f t="shared" si="21"/>
        <v>0</v>
      </c>
      <c r="M127" s="10">
        <f t="shared" si="22"/>
        <v>0</v>
      </c>
      <c r="N127" s="11">
        <f t="shared" si="23"/>
        <v>0</v>
      </c>
    </row>
    <row r="128" spans="1:14" x14ac:dyDescent="0.3">
      <c r="A128" s="3">
        <f t="shared" si="12"/>
        <v>126</v>
      </c>
      <c r="B128" s="3" t="s">
        <v>17</v>
      </c>
      <c r="C128" s="3" t="s">
        <v>4</v>
      </c>
      <c r="D128" s="9">
        <f t="shared" si="13"/>
        <v>0</v>
      </c>
      <c r="E128" s="3">
        <f t="shared" si="14"/>
        <v>0</v>
      </c>
      <c r="F128" s="3">
        <f t="shared" si="15"/>
        <v>0</v>
      </c>
      <c r="G128" s="3">
        <f t="shared" si="16"/>
        <v>0</v>
      </c>
      <c r="H128" s="10">
        <f t="shared" si="17"/>
        <v>1</v>
      </c>
      <c r="I128" s="9">
        <f t="shared" si="18"/>
        <v>0</v>
      </c>
      <c r="J128" s="3">
        <f t="shared" si="19"/>
        <v>0</v>
      </c>
      <c r="K128" s="3">
        <f t="shared" si="20"/>
        <v>1</v>
      </c>
      <c r="L128" s="3">
        <f t="shared" si="21"/>
        <v>0</v>
      </c>
      <c r="M128" s="10">
        <f t="shared" si="22"/>
        <v>0</v>
      </c>
      <c r="N128" s="11">
        <f t="shared" si="23"/>
        <v>0</v>
      </c>
    </row>
    <row r="129" spans="1:14" x14ac:dyDescent="0.3">
      <c r="A129" s="3">
        <f t="shared" si="12"/>
        <v>127</v>
      </c>
      <c r="B129" s="3" t="s">
        <v>3</v>
      </c>
      <c r="C129" s="3" t="s">
        <v>19</v>
      </c>
      <c r="D129" s="9">
        <f t="shared" si="13"/>
        <v>0</v>
      </c>
      <c r="E129" s="3">
        <f t="shared" si="14"/>
        <v>1</v>
      </c>
      <c r="F129" s="3">
        <f t="shared" si="15"/>
        <v>0</v>
      </c>
      <c r="G129" s="3">
        <f t="shared" si="16"/>
        <v>0</v>
      </c>
      <c r="H129" s="10">
        <f t="shared" si="17"/>
        <v>0</v>
      </c>
      <c r="I129" s="9">
        <f t="shared" si="18"/>
        <v>0</v>
      </c>
      <c r="J129" s="3">
        <f t="shared" si="19"/>
        <v>0</v>
      </c>
      <c r="K129" s="3">
        <f t="shared" si="20"/>
        <v>0</v>
      </c>
      <c r="L129" s="3">
        <f t="shared" si="21"/>
        <v>0</v>
      </c>
      <c r="M129" s="10">
        <f t="shared" si="22"/>
        <v>0</v>
      </c>
      <c r="N129" s="11">
        <f t="shared" si="23"/>
        <v>1</v>
      </c>
    </row>
    <row r="130" spans="1:14" x14ac:dyDescent="0.3">
      <c r="A130" s="3">
        <f t="shared" si="12"/>
        <v>128</v>
      </c>
      <c r="B130" s="3" t="s">
        <v>17</v>
      </c>
      <c r="C130" s="3" t="s">
        <v>19</v>
      </c>
      <c r="D130" s="9">
        <f t="shared" si="13"/>
        <v>0</v>
      </c>
      <c r="E130" s="3">
        <f t="shared" si="14"/>
        <v>0</v>
      </c>
      <c r="F130" s="3">
        <f t="shared" si="15"/>
        <v>0</v>
      </c>
      <c r="G130" s="3">
        <f t="shared" si="16"/>
        <v>0</v>
      </c>
      <c r="H130" s="10">
        <f t="shared" si="17"/>
        <v>1</v>
      </c>
      <c r="I130" s="9">
        <f t="shared" si="18"/>
        <v>0</v>
      </c>
      <c r="J130" s="3">
        <f t="shared" si="19"/>
        <v>0</v>
      </c>
      <c r="K130" s="3">
        <f t="shared" si="20"/>
        <v>0</v>
      </c>
      <c r="L130" s="3">
        <f t="shared" si="21"/>
        <v>0</v>
      </c>
      <c r="M130" s="10">
        <f t="shared" si="22"/>
        <v>0</v>
      </c>
      <c r="N130" s="11">
        <f t="shared" si="23"/>
        <v>1</v>
      </c>
    </row>
    <row r="131" spans="1:14" x14ac:dyDescent="0.3">
      <c r="A131" s="3">
        <f t="shared" si="12"/>
        <v>129</v>
      </c>
      <c r="B131" s="3" t="s">
        <v>8</v>
      </c>
      <c r="C131" s="3" t="s">
        <v>19</v>
      </c>
      <c r="D131" s="9">
        <f t="shared" si="13"/>
        <v>1</v>
      </c>
      <c r="E131" s="3">
        <f t="shared" si="14"/>
        <v>0</v>
      </c>
      <c r="F131" s="3">
        <f t="shared" si="15"/>
        <v>0</v>
      </c>
      <c r="G131" s="3">
        <f t="shared" si="16"/>
        <v>0</v>
      </c>
      <c r="H131" s="10">
        <f t="shared" si="17"/>
        <v>0</v>
      </c>
      <c r="I131" s="9">
        <f t="shared" si="18"/>
        <v>0</v>
      </c>
      <c r="J131" s="3">
        <f t="shared" si="19"/>
        <v>0</v>
      </c>
      <c r="K131" s="3">
        <f t="shared" si="20"/>
        <v>0</v>
      </c>
      <c r="L131" s="3">
        <f t="shared" si="21"/>
        <v>0</v>
      </c>
      <c r="M131" s="10">
        <f t="shared" si="22"/>
        <v>0</v>
      </c>
      <c r="N131" s="11">
        <f t="shared" si="23"/>
        <v>1</v>
      </c>
    </row>
    <row r="132" spans="1:14" x14ac:dyDescent="0.3">
      <c r="A132" s="3">
        <f t="shared" ref="A132:A137" si="24">+A131+1</f>
        <v>130</v>
      </c>
      <c r="B132" s="3" t="s">
        <v>17</v>
      </c>
      <c r="C132" s="3" t="s">
        <v>19</v>
      </c>
      <c r="D132" s="9">
        <f t="shared" ref="D132:D137" si="25">IF(B132="Top",1,0)</f>
        <v>0</v>
      </c>
      <c r="E132" s="3">
        <f t="shared" ref="E132:E137" si="26">IF(B132="Mid",1,0)</f>
        <v>0</v>
      </c>
      <c r="F132" s="3">
        <f t="shared" ref="F132:F137" si="27">IF(B132="Low",1,0)</f>
        <v>0</v>
      </c>
      <c r="G132" s="3">
        <f t="shared" ref="G132:G137" si="28">IF(B132="Skilled",1,0)</f>
        <v>0</v>
      </c>
      <c r="H132" s="10">
        <f t="shared" ref="H132:H137" si="29">IF(B132="Line",1,0)</f>
        <v>1</v>
      </c>
      <c r="I132" s="9">
        <f t="shared" ref="I132:I137" si="30">IF(C132="Top",1,0)</f>
        <v>0</v>
      </c>
      <c r="J132" s="3">
        <f t="shared" ref="J132:J137" si="31">IF(C132="Mid",1,0)</f>
        <v>0</v>
      </c>
      <c r="K132" s="3">
        <f t="shared" ref="K132:K137" si="32">IF(C132="Low",1,0)</f>
        <v>0</v>
      </c>
      <c r="L132" s="3">
        <f t="shared" ref="L132:L137" si="33">IF(C132="Skilled",1,0)</f>
        <v>0</v>
      </c>
      <c r="M132" s="10">
        <f t="shared" ref="M132:M137" si="34">IF(C132="Line",1,0)</f>
        <v>0</v>
      </c>
      <c r="N132" s="11">
        <f t="shared" ref="N132:N137" si="35">IF(C132="NA",1,0)</f>
        <v>1</v>
      </c>
    </row>
    <row r="133" spans="1:14" x14ac:dyDescent="0.3">
      <c r="A133" s="3">
        <f t="shared" si="24"/>
        <v>131</v>
      </c>
      <c r="B133" s="3" t="s">
        <v>16</v>
      </c>
      <c r="C133" s="3" t="s">
        <v>4</v>
      </c>
      <c r="D133" s="9">
        <f t="shared" si="25"/>
        <v>0</v>
      </c>
      <c r="E133" s="3">
        <f t="shared" si="26"/>
        <v>0</v>
      </c>
      <c r="F133" s="3">
        <f t="shared" si="27"/>
        <v>0</v>
      </c>
      <c r="G133" s="3">
        <f t="shared" si="28"/>
        <v>1</v>
      </c>
      <c r="H133" s="10">
        <f t="shared" si="29"/>
        <v>0</v>
      </c>
      <c r="I133" s="9">
        <f t="shared" si="30"/>
        <v>0</v>
      </c>
      <c r="J133" s="3">
        <f t="shared" si="31"/>
        <v>0</v>
      </c>
      <c r="K133" s="3">
        <f t="shared" si="32"/>
        <v>1</v>
      </c>
      <c r="L133" s="3">
        <f t="shared" si="33"/>
        <v>0</v>
      </c>
      <c r="M133" s="10">
        <f t="shared" si="34"/>
        <v>0</v>
      </c>
      <c r="N133" s="11">
        <f t="shared" si="35"/>
        <v>0</v>
      </c>
    </row>
    <row r="134" spans="1:14" x14ac:dyDescent="0.3">
      <c r="A134" s="3">
        <f t="shared" si="24"/>
        <v>132</v>
      </c>
      <c r="B134" s="3" t="s">
        <v>4</v>
      </c>
      <c r="C134" s="3" t="s">
        <v>4</v>
      </c>
      <c r="D134" s="9">
        <f t="shared" si="25"/>
        <v>0</v>
      </c>
      <c r="E134" s="3">
        <f t="shared" si="26"/>
        <v>0</v>
      </c>
      <c r="F134" s="3">
        <f t="shared" si="27"/>
        <v>1</v>
      </c>
      <c r="G134" s="3">
        <f t="shared" si="28"/>
        <v>0</v>
      </c>
      <c r="H134" s="10">
        <f t="shared" si="29"/>
        <v>0</v>
      </c>
      <c r="I134" s="9">
        <f t="shared" si="30"/>
        <v>0</v>
      </c>
      <c r="J134" s="3">
        <f t="shared" si="31"/>
        <v>0</v>
      </c>
      <c r="K134" s="3">
        <f t="shared" si="32"/>
        <v>1</v>
      </c>
      <c r="L134" s="3">
        <f t="shared" si="33"/>
        <v>0</v>
      </c>
      <c r="M134" s="10">
        <f t="shared" si="34"/>
        <v>0</v>
      </c>
      <c r="N134" s="11">
        <f t="shared" si="35"/>
        <v>0</v>
      </c>
    </row>
    <row r="135" spans="1:14" x14ac:dyDescent="0.3">
      <c r="A135" s="3">
        <f t="shared" si="24"/>
        <v>133</v>
      </c>
      <c r="B135" s="3" t="s">
        <v>8</v>
      </c>
      <c r="C135" s="3" t="s">
        <v>3</v>
      </c>
      <c r="D135" s="9">
        <f t="shared" si="25"/>
        <v>1</v>
      </c>
      <c r="E135" s="3">
        <f t="shared" si="26"/>
        <v>0</v>
      </c>
      <c r="F135" s="3">
        <f t="shared" si="27"/>
        <v>0</v>
      </c>
      <c r="G135" s="3">
        <f t="shared" si="28"/>
        <v>0</v>
      </c>
      <c r="H135" s="10">
        <f t="shared" si="29"/>
        <v>0</v>
      </c>
      <c r="I135" s="9">
        <f t="shared" si="30"/>
        <v>0</v>
      </c>
      <c r="J135" s="3">
        <f t="shared" si="31"/>
        <v>1</v>
      </c>
      <c r="K135" s="3">
        <f t="shared" si="32"/>
        <v>0</v>
      </c>
      <c r="L135" s="3">
        <f t="shared" si="33"/>
        <v>0</v>
      </c>
      <c r="M135" s="10">
        <f t="shared" si="34"/>
        <v>0</v>
      </c>
      <c r="N135" s="11">
        <f t="shared" si="35"/>
        <v>0</v>
      </c>
    </row>
    <row r="136" spans="1:14" x14ac:dyDescent="0.3">
      <c r="A136" s="3">
        <f t="shared" si="24"/>
        <v>134</v>
      </c>
      <c r="B136" s="3" t="s">
        <v>8</v>
      </c>
      <c r="C136" s="3" t="s">
        <v>8</v>
      </c>
      <c r="D136" s="9">
        <f t="shared" si="25"/>
        <v>1</v>
      </c>
      <c r="E136" s="3">
        <f t="shared" si="26"/>
        <v>0</v>
      </c>
      <c r="F136" s="3">
        <f t="shared" si="27"/>
        <v>0</v>
      </c>
      <c r="G136" s="3">
        <f t="shared" si="28"/>
        <v>0</v>
      </c>
      <c r="H136" s="10">
        <f t="shared" si="29"/>
        <v>0</v>
      </c>
      <c r="I136" s="9">
        <f t="shared" si="30"/>
        <v>1</v>
      </c>
      <c r="J136" s="3">
        <f t="shared" si="31"/>
        <v>0</v>
      </c>
      <c r="K136" s="3">
        <f t="shared" si="32"/>
        <v>0</v>
      </c>
      <c r="L136" s="3">
        <f t="shared" si="33"/>
        <v>0</v>
      </c>
      <c r="M136" s="10">
        <f t="shared" si="34"/>
        <v>0</v>
      </c>
      <c r="N136" s="11">
        <f t="shared" si="35"/>
        <v>0</v>
      </c>
    </row>
    <row r="137" spans="1:14" x14ac:dyDescent="0.3">
      <c r="A137" s="3">
        <f t="shared" si="24"/>
        <v>135</v>
      </c>
      <c r="B137" s="3" t="s">
        <v>8</v>
      </c>
      <c r="C137" s="3" t="s">
        <v>3</v>
      </c>
      <c r="D137" s="12">
        <f t="shared" si="25"/>
        <v>1</v>
      </c>
      <c r="E137" s="13">
        <f t="shared" si="26"/>
        <v>0</v>
      </c>
      <c r="F137" s="13">
        <f t="shared" si="27"/>
        <v>0</v>
      </c>
      <c r="G137" s="13">
        <f t="shared" si="28"/>
        <v>0</v>
      </c>
      <c r="H137" s="14">
        <f t="shared" si="29"/>
        <v>0</v>
      </c>
      <c r="I137" s="12">
        <f t="shared" si="30"/>
        <v>0</v>
      </c>
      <c r="J137" s="13">
        <f t="shared" si="31"/>
        <v>1</v>
      </c>
      <c r="K137" s="13">
        <f t="shared" si="32"/>
        <v>0</v>
      </c>
      <c r="L137" s="13">
        <f t="shared" si="33"/>
        <v>0</v>
      </c>
      <c r="M137" s="14">
        <f t="shared" si="34"/>
        <v>0</v>
      </c>
      <c r="N137" s="15">
        <f t="shared" si="3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4FDE4-FD31-4406-9461-632596DFEF2A}">
  <dimension ref="A1:R23"/>
  <sheetViews>
    <sheetView tabSelected="1" workbookViewId="0">
      <selection activeCell="K24" sqref="K24"/>
    </sheetView>
  </sheetViews>
  <sheetFormatPr defaultRowHeight="14.4" x14ac:dyDescent="0.3"/>
  <sheetData>
    <row r="1" spans="1:18" x14ac:dyDescent="0.3">
      <c r="A1" s="18" t="s">
        <v>20</v>
      </c>
      <c r="B1" s="18" t="s">
        <v>17</v>
      </c>
      <c r="C1" s="18" t="s">
        <v>4</v>
      </c>
      <c r="D1" s="18" t="s">
        <v>3</v>
      </c>
      <c r="E1" s="18" t="s">
        <v>19</v>
      </c>
      <c r="F1" s="18" t="s">
        <v>8</v>
      </c>
      <c r="G1" s="18" t="s">
        <v>21</v>
      </c>
    </row>
    <row r="2" spans="1:18" x14ac:dyDescent="0.3">
      <c r="A2" s="17" t="s">
        <v>17</v>
      </c>
      <c r="B2" s="19">
        <v>9</v>
      </c>
      <c r="C2" s="19">
        <v>17</v>
      </c>
      <c r="D2" s="19">
        <v>0</v>
      </c>
      <c r="E2" s="19">
        <v>3</v>
      </c>
      <c r="F2" s="19">
        <v>0</v>
      </c>
      <c r="G2" s="19">
        <v>29</v>
      </c>
      <c r="L2" s="23" t="s">
        <v>24</v>
      </c>
      <c r="M2" s="22"/>
      <c r="N2" s="22"/>
      <c r="O2" s="22"/>
      <c r="P2" s="22"/>
    </row>
    <row r="3" spans="1:18" x14ac:dyDescent="0.3">
      <c r="A3" s="17" t="s">
        <v>4</v>
      </c>
      <c r="B3" s="19">
        <v>0</v>
      </c>
      <c r="C3" s="19">
        <v>21</v>
      </c>
      <c r="D3" s="19">
        <v>0</v>
      </c>
      <c r="E3" s="19">
        <v>7</v>
      </c>
      <c r="F3" s="19">
        <v>0</v>
      </c>
      <c r="G3" s="19">
        <v>28</v>
      </c>
      <c r="L3" s="22"/>
      <c r="M3" s="22"/>
      <c r="N3" s="22"/>
      <c r="O3" s="22"/>
      <c r="P3" s="22"/>
    </row>
    <row r="4" spans="1:18" x14ac:dyDescent="0.3">
      <c r="A4" s="17" t="s">
        <v>3</v>
      </c>
      <c r="B4" s="19">
        <v>0</v>
      </c>
      <c r="C4" s="19">
        <v>0</v>
      </c>
      <c r="D4" s="19">
        <v>11</v>
      </c>
      <c r="E4" s="19">
        <v>9</v>
      </c>
      <c r="F4" s="19">
        <v>3</v>
      </c>
      <c r="G4" s="19">
        <v>23</v>
      </c>
      <c r="L4" s="22"/>
      <c r="M4" s="22"/>
      <c r="N4" s="22"/>
      <c r="O4" s="22"/>
      <c r="P4" s="22"/>
    </row>
    <row r="5" spans="1:18" x14ac:dyDescent="0.3">
      <c r="A5" s="17" t="s">
        <v>16</v>
      </c>
      <c r="B5" s="19">
        <v>0</v>
      </c>
      <c r="C5" s="19">
        <v>29</v>
      </c>
      <c r="D5" s="19">
        <v>0</v>
      </c>
      <c r="E5" s="19">
        <v>13</v>
      </c>
      <c r="F5" s="19">
        <v>0</v>
      </c>
      <c r="G5" s="19">
        <v>42</v>
      </c>
      <c r="L5" s="22"/>
      <c r="M5" s="22"/>
      <c r="N5" s="22"/>
      <c r="O5" s="22"/>
      <c r="P5" s="22"/>
    </row>
    <row r="6" spans="1:18" x14ac:dyDescent="0.3">
      <c r="A6" s="17" t="s">
        <v>8</v>
      </c>
      <c r="B6" s="19">
        <v>0</v>
      </c>
      <c r="C6" s="19">
        <v>0</v>
      </c>
      <c r="D6" s="19">
        <v>7</v>
      </c>
      <c r="E6" s="19">
        <v>1</v>
      </c>
      <c r="F6" s="19">
        <v>5</v>
      </c>
      <c r="G6" s="19">
        <v>13</v>
      </c>
      <c r="L6" s="22"/>
      <c r="M6" s="22"/>
      <c r="N6" s="22"/>
      <c r="O6" s="22"/>
      <c r="P6" s="22"/>
    </row>
    <row r="7" spans="1:18" x14ac:dyDescent="0.3">
      <c r="A7" s="20" t="s">
        <v>21</v>
      </c>
      <c r="B7" s="21">
        <v>9</v>
      </c>
      <c r="C7" s="21">
        <v>67</v>
      </c>
      <c r="D7" s="21">
        <v>18</v>
      </c>
      <c r="E7" s="21">
        <v>33</v>
      </c>
      <c r="F7" s="21">
        <v>8</v>
      </c>
      <c r="G7" s="21">
        <v>135</v>
      </c>
      <c r="L7" s="22"/>
      <c r="M7" s="22"/>
      <c r="N7" s="22"/>
      <c r="O7" s="22"/>
      <c r="P7" s="22"/>
    </row>
    <row r="8" spans="1:18" x14ac:dyDescent="0.3">
      <c r="A8" s="17" t="s">
        <v>25</v>
      </c>
      <c r="B8">
        <v>19</v>
      </c>
      <c r="C8" s="19">
        <v>53</v>
      </c>
      <c r="D8" s="19">
        <v>45</v>
      </c>
      <c r="E8" s="19">
        <v>0</v>
      </c>
      <c r="F8" s="19">
        <v>11</v>
      </c>
      <c r="L8" s="22"/>
      <c r="M8" s="22"/>
      <c r="N8" s="22"/>
      <c r="O8" s="22"/>
      <c r="P8" s="22"/>
    </row>
    <row r="9" spans="1:18" x14ac:dyDescent="0.3">
      <c r="B9">
        <f>B7-B8</f>
        <v>-10</v>
      </c>
      <c r="C9">
        <f t="shared" ref="C9:F9" si="0">C7-C8</f>
        <v>14</v>
      </c>
      <c r="D9">
        <f t="shared" si="0"/>
        <v>-27</v>
      </c>
      <c r="E9">
        <f t="shared" si="0"/>
        <v>33</v>
      </c>
      <c r="F9">
        <f t="shared" si="0"/>
        <v>-3</v>
      </c>
      <c r="L9" s="22"/>
      <c r="M9" s="22"/>
      <c r="N9" s="22"/>
      <c r="O9" s="22"/>
      <c r="P9" s="22"/>
    </row>
    <row r="10" spans="1:18" x14ac:dyDescent="0.3">
      <c r="L10" s="22"/>
      <c r="M10" s="22"/>
      <c r="N10" s="22"/>
      <c r="O10" s="22"/>
      <c r="P10" s="22"/>
    </row>
    <row r="12" spans="1:18" x14ac:dyDescent="0.3">
      <c r="A12" s="16" t="s">
        <v>23</v>
      </c>
      <c r="B12" s="16" t="s">
        <v>22</v>
      </c>
    </row>
    <row r="13" spans="1:18" x14ac:dyDescent="0.3">
      <c r="A13" s="16" t="s">
        <v>20</v>
      </c>
      <c r="B13" t="s">
        <v>17</v>
      </c>
      <c r="C13" t="s">
        <v>4</v>
      </c>
      <c r="D13" t="s">
        <v>3</v>
      </c>
      <c r="E13" t="s">
        <v>19</v>
      </c>
      <c r="F13" t="s">
        <v>8</v>
      </c>
      <c r="G13" t="s">
        <v>29</v>
      </c>
      <c r="H13" t="s">
        <v>21</v>
      </c>
    </row>
    <row r="14" spans="1:18" x14ac:dyDescent="0.3">
      <c r="A14" s="17" t="s">
        <v>17</v>
      </c>
      <c r="B14" s="19">
        <v>9</v>
      </c>
      <c r="C14" s="19">
        <v>17</v>
      </c>
      <c r="D14" s="19"/>
      <c r="E14" s="19">
        <v>3</v>
      </c>
      <c r="F14" s="19"/>
      <c r="G14" s="19"/>
      <c r="H14" s="19">
        <v>29</v>
      </c>
    </row>
    <row r="15" spans="1:18" x14ac:dyDescent="0.3">
      <c r="A15" s="17" t="s">
        <v>4</v>
      </c>
      <c r="B15" s="19"/>
      <c r="C15" s="19">
        <v>21</v>
      </c>
      <c r="D15" s="19"/>
      <c r="E15" s="19">
        <v>7</v>
      </c>
      <c r="F15" s="19"/>
      <c r="G15" s="19"/>
      <c r="H15" s="19">
        <v>28</v>
      </c>
      <c r="K15" t="s">
        <v>23</v>
      </c>
      <c r="L15" t="s">
        <v>22</v>
      </c>
    </row>
    <row r="16" spans="1:18" x14ac:dyDescent="0.3">
      <c r="A16" s="17" t="s">
        <v>3</v>
      </c>
      <c r="B16" s="19"/>
      <c r="C16" s="19"/>
      <c r="D16" s="19">
        <v>11</v>
      </c>
      <c r="E16" s="19">
        <v>9</v>
      </c>
      <c r="F16" s="19">
        <v>3</v>
      </c>
      <c r="G16" s="19"/>
      <c r="H16" s="19">
        <v>23</v>
      </c>
      <c r="K16" t="s">
        <v>20</v>
      </c>
      <c r="L16" t="s">
        <v>17</v>
      </c>
      <c r="M16" t="s">
        <v>4</v>
      </c>
      <c r="N16" t="s">
        <v>3</v>
      </c>
      <c r="O16" t="s">
        <v>19</v>
      </c>
      <c r="P16" t="s">
        <v>8</v>
      </c>
      <c r="Q16" t="s">
        <v>29</v>
      </c>
      <c r="R16" t="s">
        <v>21</v>
      </c>
    </row>
    <row r="17" spans="1:18" x14ac:dyDescent="0.3">
      <c r="A17" s="17" t="s">
        <v>16</v>
      </c>
      <c r="B17" s="19"/>
      <c r="C17" s="19">
        <v>29</v>
      </c>
      <c r="D17" s="19"/>
      <c r="E17" s="19">
        <v>13</v>
      </c>
      <c r="F17" s="19"/>
      <c r="G17" s="19"/>
      <c r="H17" s="19">
        <v>42</v>
      </c>
      <c r="K17" t="s">
        <v>17</v>
      </c>
      <c r="L17">
        <v>9</v>
      </c>
      <c r="M17">
        <v>17</v>
      </c>
      <c r="O17">
        <v>3</v>
      </c>
      <c r="R17">
        <v>29</v>
      </c>
    </row>
    <row r="18" spans="1:18" x14ac:dyDescent="0.3">
      <c r="A18" s="17" t="s">
        <v>8</v>
      </c>
      <c r="B18" s="19"/>
      <c r="C18" s="19"/>
      <c r="D18" s="19">
        <v>7</v>
      </c>
      <c r="E18" s="19">
        <v>1</v>
      </c>
      <c r="F18" s="19">
        <v>5</v>
      </c>
      <c r="G18" s="19"/>
      <c r="H18" s="19">
        <v>13</v>
      </c>
      <c r="K18" t="s">
        <v>4</v>
      </c>
      <c r="M18">
        <v>21</v>
      </c>
      <c r="O18">
        <v>7</v>
      </c>
      <c r="R18">
        <v>28</v>
      </c>
    </row>
    <row r="19" spans="1:18" x14ac:dyDescent="0.3">
      <c r="A19" s="17" t="s">
        <v>29</v>
      </c>
      <c r="B19" s="19"/>
      <c r="C19" s="19"/>
      <c r="D19" s="19"/>
      <c r="E19" s="19"/>
      <c r="F19" s="19"/>
      <c r="G19" s="19"/>
      <c r="H19" s="19"/>
      <c r="K19" t="s">
        <v>3</v>
      </c>
      <c r="N19">
        <v>11</v>
      </c>
      <c r="O19">
        <v>9</v>
      </c>
      <c r="P19">
        <v>3</v>
      </c>
      <c r="R19">
        <v>23</v>
      </c>
    </row>
    <row r="20" spans="1:18" x14ac:dyDescent="0.3">
      <c r="A20" s="17" t="s">
        <v>21</v>
      </c>
      <c r="B20" s="19">
        <v>9</v>
      </c>
      <c r="C20" s="19">
        <v>67</v>
      </c>
      <c r="D20" s="19">
        <v>18</v>
      </c>
      <c r="E20" s="19">
        <v>33</v>
      </c>
      <c r="F20" s="19">
        <v>8</v>
      </c>
      <c r="G20" s="19"/>
      <c r="H20" s="19">
        <v>135</v>
      </c>
      <c r="K20" t="s">
        <v>16</v>
      </c>
      <c r="M20">
        <v>29</v>
      </c>
      <c r="O20">
        <v>13</v>
      </c>
      <c r="R20">
        <v>42</v>
      </c>
    </row>
    <row r="21" spans="1:18" x14ac:dyDescent="0.3">
      <c r="A21" s="17" t="s">
        <v>30</v>
      </c>
      <c r="B21">
        <v>19</v>
      </c>
      <c r="C21">
        <v>53</v>
      </c>
      <c r="D21" s="19">
        <v>45</v>
      </c>
      <c r="F21" s="19">
        <v>11</v>
      </c>
      <c r="K21" t="s">
        <v>8</v>
      </c>
      <c r="N21">
        <v>7</v>
      </c>
      <c r="O21">
        <v>1</v>
      </c>
      <c r="P21">
        <v>5</v>
      </c>
      <c r="R21">
        <v>13</v>
      </c>
    </row>
    <row r="22" spans="1:18" x14ac:dyDescent="0.3">
      <c r="A22" s="17" t="s">
        <v>31</v>
      </c>
      <c r="B22">
        <f>GETPIVOTDATA("Designation 2017",$A$12,"Designation 2018","Line")-B21</f>
        <v>-10</v>
      </c>
      <c r="C22">
        <f t="shared" ref="C22:F22" si="1">GETPIVOTDATA("Designation 2017",$A$12,"Designation 2018","Line")-C21</f>
        <v>-44</v>
      </c>
      <c r="D22">
        <f t="shared" si="1"/>
        <v>-36</v>
      </c>
      <c r="F22">
        <f t="shared" si="1"/>
        <v>-2</v>
      </c>
      <c r="K22" t="s">
        <v>29</v>
      </c>
    </row>
    <row r="23" spans="1:18" x14ac:dyDescent="0.3">
      <c r="K23" t="s">
        <v>21</v>
      </c>
      <c r="L23">
        <v>9</v>
      </c>
      <c r="M23">
        <v>67</v>
      </c>
      <c r="N23">
        <v>18</v>
      </c>
      <c r="O23">
        <v>33</v>
      </c>
      <c r="P23">
        <v>8</v>
      </c>
      <c r="R23">
        <v>135</v>
      </c>
    </row>
  </sheetData>
  <mergeCells count="1">
    <mergeCell ref="L2:P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SkR illeR</dc:creator>
  <cp:lastModifiedBy>SkR illeR</cp:lastModifiedBy>
  <dcterms:created xsi:type="dcterms:W3CDTF">2025-12-29T05:12:01Z</dcterms:created>
  <dcterms:modified xsi:type="dcterms:W3CDTF">2025-12-29T07:16:17Z</dcterms:modified>
</cp:coreProperties>
</file>