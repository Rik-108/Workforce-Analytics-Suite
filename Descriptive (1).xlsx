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13_ncr:1_{E28134B8-8F77-49F8-BBAC-CA75478A3F0D}" xr6:coauthVersionLast="47" xr6:coauthVersionMax="47" xr10:uidLastSave="{00000000-0000-0000-0000-000000000000}"/>
  <bookViews>
    <workbookView xWindow="-108" yWindow="-108" windowWidth="23256" windowHeight="12456" xr2:uid="{F3E2536F-E54F-448A-AF9A-EEB412EA9890}"/>
  </bookViews>
  <sheets>
    <sheet name="Sheet1" sheetId="1" r:id="rId1"/>
  </sheets>
  <definedNames>
    <definedName name="_xlchart.v1.0" hidden="1">Sheet1!$H$5:$H$258</definedName>
    <definedName name="_xlchart.v1.1" hidden="1">Sheet1!$H$5:$H$258</definedName>
    <definedName name="_xlchart.v1.2" hidden="1">Sheet1!$H$5:$H$258</definedName>
    <definedName name="_xlchart.v1.3" hidden="1">Sheet1!$H$5:$H$258</definedName>
    <definedName name="_xlchart.v1.4" hidden="1">Sheet1!$H$5:$H$258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1" l="1"/>
  <c r="V32" i="1"/>
  <c r="V31" i="1"/>
  <c r="V30" i="1"/>
  <c r="V28" i="1"/>
  <c r="V26" i="1"/>
  <c r="V25" i="1"/>
  <c r="V2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5" i="1"/>
  <c r="U16" i="1"/>
</calcChain>
</file>

<file path=xl/sharedStrings.xml><?xml version="1.0" encoding="utf-8"?>
<sst xmlns="http://schemas.openxmlformats.org/spreadsheetml/2006/main" count="323" uniqueCount="273">
  <si>
    <t>Name</t>
  </si>
  <si>
    <t xml:space="preserve">Salary </t>
  </si>
  <si>
    <t>Experience (Months)</t>
  </si>
  <si>
    <t>Aakash</t>
  </si>
  <si>
    <t>Aamir Hussain</t>
  </si>
  <si>
    <t>Abhi</t>
  </si>
  <si>
    <t>Abhishek</t>
  </si>
  <si>
    <t>Abhishekh</t>
  </si>
  <si>
    <t>Adnan</t>
  </si>
  <si>
    <t>Ajay</t>
  </si>
  <si>
    <t>Ajay Kumar</t>
  </si>
  <si>
    <t>Ajay Narayan</t>
  </si>
  <si>
    <t>Akash Gupta</t>
  </si>
  <si>
    <t>Akhilesh</t>
  </si>
  <si>
    <t>Akkash</t>
  </si>
  <si>
    <t>Aman</t>
  </si>
  <si>
    <t>Aman Soni @ Badal</t>
  </si>
  <si>
    <t>Amarjeet</t>
  </si>
  <si>
    <t>Amit</t>
  </si>
  <si>
    <t>Amit Kumar</t>
  </si>
  <si>
    <t>Anil Kumar</t>
  </si>
  <si>
    <t>Ankit</t>
  </si>
  <si>
    <t>Anubhav Shrivastab</t>
  </si>
  <si>
    <t>Arindra</t>
  </si>
  <si>
    <t>Arjun</t>
  </si>
  <si>
    <t>Arun</t>
  </si>
  <si>
    <t>Arun @ Vicky</t>
  </si>
  <si>
    <t>Arvind Kumar Yadav</t>
  </si>
  <si>
    <t>Aslam Allam</t>
  </si>
  <si>
    <t>Axat</t>
  </si>
  <si>
    <t>Azaruddin</t>
  </si>
  <si>
    <t>B Vikjay Kumar</t>
  </si>
  <si>
    <t>Babalu Sen</t>
  </si>
  <si>
    <t>Bablu Regar</t>
  </si>
  <si>
    <t>Badshya Khan</t>
  </si>
  <si>
    <t>Balraj</t>
  </si>
  <si>
    <t>Barjraj</t>
  </si>
  <si>
    <t>Beeru</t>
  </si>
  <si>
    <t>Bhagwati Prasad</t>
  </si>
  <si>
    <t>Bhola Sarkar</t>
  </si>
  <si>
    <t>Bhupender</t>
  </si>
  <si>
    <t>Birender Mandal</t>
  </si>
  <si>
    <t>Bishun</t>
  </si>
  <si>
    <t>Chanderpal</t>
  </si>
  <si>
    <t>Chandesh</t>
  </si>
  <si>
    <t>Chotelal</t>
  </si>
  <si>
    <t>Deepak</t>
  </si>
  <si>
    <t>Devinder Chadda</t>
  </si>
  <si>
    <t>Dharam Singh</t>
  </si>
  <si>
    <t>Dinesh</t>
  </si>
  <si>
    <t>Dinesh Kumar</t>
  </si>
  <si>
    <t>Dipendra Kumar</t>
  </si>
  <si>
    <t>Dolly @ Rekha W/O Monto Shah</t>
  </si>
  <si>
    <t>Doodhnath Pandit</t>
  </si>
  <si>
    <t>Durgesh</t>
  </si>
  <si>
    <t>Esrail Khan</t>
  </si>
  <si>
    <t>Farmaan Khan</t>
  </si>
  <si>
    <t>Gajender Singh @ Goldy</t>
  </si>
  <si>
    <t>Gopal Sharma</t>
  </si>
  <si>
    <t>Guddu</t>
  </si>
  <si>
    <t>Gulfam</t>
  </si>
  <si>
    <t>Gulshan</t>
  </si>
  <si>
    <t>Gurmit Singh</t>
  </si>
  <si>
    <t>Har Parsad</t>
  </si>
  <si>
    <t>Harman Singh</t>
  </si>
  <si>
    <t>Harsh Dagar</t>
  </si>
  <si>
    <t>Hemant</t>
  </si>
  <si>
    <t>Himanshu</t>
  </si>
  <si>
    <t>Imamudeen</t>
  </si>
  <si>
    <t>Irfan</t>
  </si>
  <si>
    <t>Jagdish</t>
  </si>
  <si>
    <t>Jahoor Ahmed Meer</t>
  </si>
  <si>
    <t>Jai Singh</t>
  </si>
  <si>
    <t>Jamil Khan</t>
  </si>
  <si>
    <t>Jaswant Singh</t>
  </si>
  <si>
    <t>Jatin @ Sonu</t>
  </si>
  <si>
    <t>Jitender Kumar</t>
  </si>
  <si>
    <t>Kabir</t>
  </si>
  <si>
    <t>Kailash Kumar</t>
  </si>
  <si>
    <t>Kali Charan</t>
  </si>
  <si>
    <t>Kamal Jit Singh</t>
  </si>
  <si>
    <t>Kasid</t>
  </si>
  <si>
    <t>Kausal Kumar</t>
  </si>
  <si>
    <t>Keshar Ansari</t>
  </si>
  <si>
    <t>Khadak Singh</t>
  </si>
  <si>
    <t>Khursid</t>
  </si>
  <si>
    <t>Kishan</t>
  </si>
  <si>
    <t>Kuldeep</t>
  </si>
  <si>
    <t>Kuldeep Singh</t>
  </si>
  <si>
    <t>Kushal</t>
  </si>
  <si>
    <t>Lalit Kathuriya</t>
  </si>
  <si>
    <t>Lalit Rana</t>
  </si>
  <si>
    <t>Maansingh Aswal</t>
  </si>
  <si>
    <t>Manish Garg</t>
  </si>
  <si>
    <t>Manoj</t>
  </si>
  <si>
    <t>Manoj Yadav @ Manoj</t>
  </si>
  <si>
    <t>Mayank Chaudhary @ Rahul</t>
  </si>
  <si>
    <t>Md Mustafa</t>
  </si>
  <si>
    <t>Md. Afsar</t>
  </si>
  <si>
    <t>Midda</t>
  </si>
  <si>
    <t>Mohabbat Ali</t>
  </si>
  <si>
    <t>Mohan Kumar</t>
  </si>
  <si>
    <t>Mohan Singh</t>
  </si>
  <si>
    <t>Mohd Aakib</t>
  </si>
  <si>
    <t>Mohd Ataullah</t>
  </si>
  <si>
    <t>Mohd Kausar</t>
  </si>
  <si>
    <t>Mohd Khairul</t>
  </si>
  <si>
    <t>Mohd Shahid</t>
  </si>
  <si>
    <t>Mohd Shakib</t>
  </si>
  <si>
    <t>Mohd. Mukhtaar</t>
  </si>
  <si>
    <t>Mohit @ Himanshu</t>
  </si>
  <si>
    <t>Mohit Maan</t>
  </si>
  <si>
    <t>Moti Lal</t>
  </si>
  <si>
    <t>Mubarik</t>
  </si>
  <si>
    <t>Mukul Yadav</t>
  </si>
  <si>
    <t>Murari</t>
  </si>
  <si>
    <t>Nahar Singh</t>
  </si>
  <si>
    <t>Nanku Prasad</t>
  </si>
  <si>
    <t>Nausad</t>
  </si>
  <si>
    <t>Neeraj Kumar</t>
  </si>
  <si>
    <t>Nikhleshwar Bhagat</t>
  </si>
  <si>
    <t>Niraj</t>
  </si>
  <si>
    <t>Nitin</t>
  </si>
  <si>
    <t>Pankaj Chand</t>
  </si>
  <si>
    <t>Pankaj Kumar</t>
  </si>
  <si>
    <t>Parvesh</t>
  </si>
  <si>
    <t>Pawan</t>
  </si>
  <si>
    <t>Phoolwati @ Phoolo Devi</t>
  </si>
  <si>
    <t>Pintu Thakur</t>
  </si>
  <si>
    <t>Pooran Chand</t>
  </si>
  <si>
    <t>Pooran Chand Sharma</t>
  </si>
  <si>
    <t>Preetam Kumar</t>
  </si>
  <si>
    <t>Pritam Singh</t>
  </si>
  <si>
    <t>Pulkit Sharma</t>
  </si>
  <si>
    <t>Punit Khandelwal</t>
  </si>
  <si>
    <t>Raghunandan Das</t>
  </si>
  <si>
    <t>Rahul</t>
  </si>
  <si>
    <t>Rahul Kumar</t>
  </si>
  <si>
    <t>Rahul Sharma</t>
  </si>
  <si>
    <t>Raj Kumar</t>
  </si>
  <si>
    <t>Raja Babu</t>
  </si>
  <si>
    <t>Rajbir</t>
  </si>
  <si>
    <t>Rajeev</t>
  </si>
  <si>
    <t>Rajender</t>
  </si>
  <si>
    <t>Rajkumar</t>
  </si>
  <si>
    <t>Rajkumar Chawla</t>
  </si>
  <si>
    <t>Raju @ Chhotu</t>
  </si>
  <si>
    <t>Rakesh</t>
  </si>
  <si>
    <t>Rakesh Sarkar</t>
  </si>
  <si>
    <t>Ram Dutt Gupta</t>
  </si>
  <si>
    <t>Ram Kishan</t>
  </si>
  <si>
    <t>Ram Kumar</t>
  </si>
  <si>
    <t>Ram Singh</t>
  </si>
  <si>
    <t>Ramdin Verma</t>
  </si>
  <si>
    <t>Ramvilash</t>
  </si>
  <si>
    <t>Ravindra Kumar</t>
  </si>
  <si>
    <t>Rijul Aggarwal</t>
  </si>
  <si>
    <t>Rishi</t>
  </si>
  <si>
    <t>Riyasat Ali</t>
  </si>
  <si>
    <t>Rizwan</t>
  </si>
  <si>
    <t>Rohit</t>
  </si>
  <si>
    <t>Rohit Kumar</t>
  </si>
  <si>
    <t>Rupesh</t>
  </si>
  <si>
    <t>Rustam Shah</t>
  </si>
  <si>
    <t>Sachin</t>
  </si>
  <si>
    <t>Saddam</t>
  </si>
  <si>
    <t>Salman</t>
  </si>
  <si>
    <t>Sandeep</t>
  </si>
  <si>
    <t>Sandeep Kumar</t>
  </si>
  <si>
    <t>Sandeep Meghawal</t>
  </si>
  <si>
    <t>Sanjay</t>
  </si>
  <si>
    <t>Sanjay Charee</t>
  </si>
  <si>
    <t>Santlal@Golu</t>
  </si>
  <si>
    <t>Santosh</t>
  </si>
  <si>
    <t>Sarain</t>
  </si>
  <si>
    <t>Sarbjeet @ Ronak</t>
  </si>
  <si>
    <t>Sarvesh</t>
  </si>
  <si>
    <t>Satyadev</t>
  </si>
  <si>
    <t>Sevak @ Pitambar Lal</t>
  </si>
  <si>
    <t>Shadab</t>
  </si>
  <si>
    <t>Shafibul</t>
  </si>
  <si>
    <t>Sharat Chandran</t>
  </si>
  <si>
    <t>Sheak Shakir</t>
  </si>
  <si>
    <t>Shelender Yadav</t>
  </si>
  <si>
    <t>Shiv Kumar</t>
  </si>
  <si>
    <t>Shiv Prakash</t>
  </si>
  <si>
    <t>Shiv Shakti Singh</t>
  </si>
  <si>
    <t>Shivam</t>
  </si>
  <si>
    <t>Shyam Kumar</t>
  </si>
  <si>
    <t>Silender</t>
  </si>
  <si>
    <t>Som Dutt</t>
  </si>
  <si>
    <t>Sparsh</t>
  </si>
  <si>
    <t>Subhash</t>
  </si>
  <si>
    <t>Subhash Chand Bhatia</t>
  </si>
  <si>
    <t>Sukhdev</t>
  </si>
  <si>
    <t>Sumit</t>
  </si>
  <si>
    <t>Sumit Mitra</t>
  </si>
  <si>
    <t>Sunder Paal</t>
  </si>
  <si>
    <t>Sunil Kumar</t>
  </si>
  <si>
    <t>Supriyal Sen</t>
  </si>
  <si>
    <t>Suraj</t>
  </si>
  <si>
    <t>Surender Singh Chauhan</t>
  </si>
  <si>
    <t>Suresh Kumar</t>
  </si>
  <si>
    <t>Talim</t>
  </si>
  <si>
    <t>Tammanne</t>
  </si>
  <si>
    <t>Tarjan</t>
  </si>
  <si>
    <t>Uttam Kumar @ Sanki</t>
  </si>
  <si>
    <t>Vansu Dev</t>
  </si>
  <si>
    <t>Veer Bhan Singh</t>
  </si>
  <si>
    <t>Vijay</t>
  </si>
  <si>
    <t>Vijay Virmani</t>
  </si>
  <si>
    <t>Vikas</t>
  </si>
  <si>
    <t>Vikash</t>
  </si>
  <si>
    <t>Vikram Singh</t>
  </si>
  <si>
    <t>Vinit Katariya</t>
  </si>
  <si>
    <t>Vinod</t>
  </si>
  <si>
    <t>Vinod Lal</t>
  </si>
  <si>
    <t>Vipin</t>
  </si>
  <si>
    <t>Virender</t>
  </si>
  <si>
    <t>Vishal @ Moni</t>
  </si>
  <si>
    <t>Vivek</t>
  </si>
  <si>
    <t>Vivek Auhari</t>
  </si>
  <si>
    <t>Yash Mittal</t>
  </si>
  <si>
    <t>Yogesh</t>
  </si>
  <si>
    <t>Yogita</t>
  </si>
  <si>
    <t>Yognder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</si>
  <si>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</si>
  <si>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</si>
  <si>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</si>
  <si>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</si>
  <si>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</si>
  <si>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</si>
  <si>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</si>
  <si>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</si>
  <si>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</si>
  <si>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</si>
  <si>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</si>
  <si>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</si>
  <si>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</si>
  <si>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Salary</t>
  </si>
  <si>
    <t>Exp</t>
  </si>
  <si>
    <t>Temp</t>
  </si>
  <si>
    <t>Temp Count</t>
  </si>
  <si>
    <t>Total</t>
  </si>
  <si>
    <t>Prop %</t>
  </si>
  <si>
    <t>Total Wage Bill</t>
  </si>
  <si>
    <t>Total Temp WB</t>
  </si>
  <si>
    <t>% of total WB</t>
  </si>
  <si>
    <t>CORR of Sal and Exp</t>
  </si>
  <si>
    <t>Frequency</t>
  </si>
  <si>
    <t>Regression Analysis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</si>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</sst>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0" borderId="3" xfId="0" applyBorder="1"/>
    <xf numFmtId="9" fontId="0" fillId="0" borderId="3" xfId="1" applyFont="1" applyBorder="1"/>
    <xf numFmtId="10" fontId="0" fillId="2" borderId="3" xfId="0" applyNumberFormat="1" applyFill="1" applyBorder="1"/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Sheet1!$H$5:$H$258</c:f>
              <c:numCache>
                <c:formatCode>General</c:formatCode>
                <c:ptCount val="254"/>
                <c:pt idx="0">
                  <c:v>4992</c:v>
                </c:pt>
                <c:pt idx="1">
                  <c:v>8560</c:v>
                </c:pt>
                <c:pt idx="2">
                  <c:v>9381</c:v>
                </c:pt>
                <c:pt idx="3">
                  <c:v>14872</c:v>
                </c:pt>
                <c:pt idx="4">
                  <c:v>16408</c:v>
                </c:pt>
                <c:pt idx="5">
                  <c:v>4270</c:v>
                </c:pt>
                <c:pt idx="6">
                  <c:v>5841</c:v>
                </c:pt>
                <c:pt idx="7">
                  <c:v>9726</c:v>
                </c:pt>
                <c:pt idx="8">
                  <c:v>3444</c:v>
                </c:pt>
                <c:pt idx="9">
                  <c:v>2656</c:v>
                </c:pt>
                <c:pt idx="10">
                  <c:v>1245</c:v>
                </c:pt>
                <c:pt idx="11">
                  <c:v>6930</c:v>
                </c:pt>
                <c:pt idx="12">
                  <c:v>8493</c:v>
                </c:pt>
                <c:pt idx="13">
                  <c:v>23744</c:v>
                </c:pt>
                <c:pt idx="14">
                  <c:v>21705</c:v>
                </c:pt>
                <c:pt idx="15">
                  <c:v>9047</c:v>
                </c:pt>
                <c:pt idx="16">
                  <c:v>2257</c:v>
                </c:pt>
                <c:pt idx="17">
                  <c:v>14730</c:v>
                </c:pt>
                <c:pt idx="18">
                  <c:v>10699</c:v>
                </c:pt>
                <c:pt idx="19">
                  <c:v>3233</c:v>
                </c:pt>
                <c:pt idx="20">
                  <c:v>2147</c:v>
                </c:pt>
                <c:pt idx="21">
                  <c:v>28808</c:v>
                </c:pt>
                <c:pt idx="22">
                  <c:v>12959</c:v>
                </c:pt>
                <c:pt idx="23">
                  <c:v>12269</c:v>
                </c:pt>
                <c:pt idx="24">
                  <c:v>5041</c:v>
                </c:pt>
                <c:pt idx="25">
                  <c:v>4060</c:v>
                </c:pt>
                <c:pt idx="26">
                  <c:v>19819</c:v>
                </c:pt>
                <c:pt idx="27">
                  <c:v>18332</c:v>
                </c:pt>
                <c:pt idx="28">
                  <c:v>1386</c:v>
                </c:pt>
                <c:pt idx="29">
                  <c:v>6658</c:v>
                </c:pt>
                <c:pt idx="30">
                  <c:v>4208</c:v>
                </c:pt>
                <c:pt idx="31">
                  <c:v>3377</c:v>
                </c:pt>
                <c:pt idx="32">
                  <c:v>10070</c:v>
                </c:pt>
                <c:pt idx="33">
                  <c:v>1056</c:v>
                </c:pt>
                <c:pt idx="34">
                  <c:v>17871</c:v>
                </c:pt>
                <c:pt idx="35">
                  <c:v>3284</c:v>
                </c:pt>
                <c:pt idx="36">
                  <c:v>19194</c:v>
                </c:pt>
                <c:pt idx="37">
                  <c:v>13248</c:v>
                </c:pt>
                <c:pt idx="38">
                  <c:v>1594</c:v>
                </c:pt>
                <c:pt idx="39">
                  <c:v>30230</c:v>
                </c:pt>
                <c:pt idx="40">
                  <c:v>8781</c:v>
                </c:pt>
                <c:pt idx="41">
                  <c:v>2389</c:v>
                </c:pt>
                <c:pt idx="42">
                  <c:v>5524</c:v>
                </c:pt>
                <c:pt idx="43">
                  <c:v>4225</c:v>
                </c:pt>
                <c:pt idx="44">
                  <c:v>8733</c:v>
                </c:pt>
                <c:pt idx="45">
                  <c:v>6971</c:v>
                </c:pt>
                <c:pt idx="46">
                  <c:v>5129</c:v>
                </c:pt>
                <c:pt idx="47">
                  <c:v>9847</c:v>
                </c:pt>
                <c:pt idx="48">
                  <c:v>9880</c:v>
                </c:pt>
                <c:pt idx="49">
                  <c:v>14025</c:v>
                </c:pt>
                <c:pt idx="50">
                  <c:v>4740</c:v>
                </c:pt>
                <c:pt idx="51">
                  <c:v>3183</c:v>
                </c:pt>
                <c:pt idx="52">
                  <c:v>1200</c:v>
                </c:pt>
                <c:pt idx="53">
                  <c:v>15874</c:v>
                </c:pt>
                <c:pt idx="54">
                  <c:v>10904</c:v>
                </c:pt>
                <c:pt idx="55">
                  <c:v>2719</c:v>
                </c:pt>
                <c:pt idx="56">
                  <c:v>7358</c:v>
                </c:pt>
                <c:pt idx="57">
                  <c:v>5885</c:v>
                </c:pt>
                <c:pt idx="58">
                  <c:v>5122</c:v>
                </c:pt>
                <c:pt idx="59">
                  <c:v>11600</c:v>
                </c:pt>
                <c:pt idx="60">
                  <c:v>10480</c:v>
                </c:pt>
                <c:pt idx="61">
                  <c:v>1216</c:v>
                </c:pt>
                <c:pt idx="62">
                  <c:v>4765</c:v>
                </c:pt>
                <c:pt idx="63">
                  <c:v>8226</c:v>
                </c:pt>
                <c:pt idx="64">
                  <c:v>14381</c:v>
                </c:pt>
                <c:pt idx="65">
                  <c:v>25883</c:v>
                </c:pt>
                <c:pt idx="66">
                  <c:v>1567</c:v>
                </c:pt>
                <c:pt idx="67">
                  <c:v>16602</c:v>
                </c:pt>
                <c:pt idx="68">
                  <c:v>9692</c:v>
                </c:pt>
                <c:pt idx="69">
                  <c:v>3796</c:v>
                </c:pt>
                <c:pt idx="70">
                  <c:v>3390</c:v>
                </c:pt>
                <c:pt idx="71">
                  <c:v>5237</c:v>
                </c:pt>
                <c:pt idx="72">
                  <c:v>1390</c:v>
                </c:pt>
                <c:pt idx="73">
                  <c:v>11585</c:v>
                </c:pt>
                <c:pt idx="74">
                  <c:v>5951</c:v>
                </c:pt>
                <c:pt idx="75">
                  <c:v>10034</c:v>
                </c:pt>
                <c:pt idx="76">
                  <c:v>8044</c:v>
                </c:pt>
                <c:pt idx="77">
                  <c:v>7910</c:v>
                </c:pt>
                <c:pt idx="78">
                  <c:v>6815</c:v>
                </c:pt>
                <c:pt idx="79">
                  <c:v>6200</c:v>
                </c:pt>
                <c:pt idx="80">
                  <c:v>1656</c:v>
                </c:pt>
                <c:pt idx="81">
                  <c:v>1887</c:v>
                </c:pt>
                <c:pt idx="82">
                  <c:v>17050</c:v>
                </c:pt>
                <c:pt idx="83">
                  <c:v>1069</c:v>
                </c:pt>
                <c:pt idx="84">
                  <c:v>18107</c:v>
                </c:pt>
                <c:pt idx="85">
                  <c:v>12553</c:v>
                </c:pt>
                <c:pt idx="86">
                  <c:v>6189</c:v>
                </c:pt>
                <c:pt idx="87">
                  <c:v>3164</c:v>
                </c:pt>
                <c:pt idx="88">
                  <c:v>7105</c:v>
                </c:pt>
                <c:pt idx="89">
                  <c:v>3845</c:v>
                </c:pt>
                <c:pt idx="90">
                  <c:v>8510</c:v>
                </c:pt>
                <c:pt idx="91">
                  <c:v>10227</c:v>
                </c:pt>
                <c:pt idx="92">
                  <c:v>5549</c:v>
                </c:pt>
                <c:pt idx="93">
                  <c:v>13322</c:v>
                </c:pt>
                <c:pt idx="94">
                  <c:v>5201</c:v>
                </c:pt>
                <c:pt idx="95">
                  <c:v>1593</c:v>
                </c:pt>
                <c:pt idx="96">
                  <c:v>21903</c:v>
                </c:pt>
                <c:pt idx="97">
                  <c:v>9218</c:v>
                </c:pt>
                <c:pt idx="98">
                  <c:v>5050</c:v>
                </c:pt>
                <c:pt idx="99">
                  <c:v>6408</c:v>
                </c:pt>
                <c:pt idx="100">
                  <c:v>8729</c:v>
                </c:pt>
                <c:pt idx="101">
                  <c:v>11796</c:v>
                </c:pt>
                <c:pt idx="102">
                  <c:v>9217</c:v>
                </c:pt>
                <c:pt idx="103">
                  <c:v>12357</c:v>
                </c:pt>
                <c:pt idx="104">
                  <c:v>8078</c:v>
                </c:pt>
                <c:pt idx="105">
                  <c:v>2594</c:v>
                </c:pt>
                <c:pt idx="106">
                  <c:v>15257</c:v>
                </c:pt>
                <c:pt idx="107">
                  <c:v>15801</c:v>
                </c:pt>
                <c:pt idx="108">
                  <c:v>7214</c:v>
                </c:pt>
                <c:pt idx="109">
                  <c:v>11551</c:v>
                </c:pt>
                <c:pt idx="110">
                  <c:v>8641</c:v>
                </c:pt>
                <c:pt idx="111">
                  <c:v>13970</c:v>
                </c:pt>
                <c:pt idx="112">
                  <c:v>5157</c:v>
                </c:pt>
                <c:pt idx="113">
                  <c:v>10298</c:v>
                </c:pt>
                <c:pt idx="114">
                  <c:v>2137</c:v>
                </c:pt>
                <c:pt idx="115">
                  <c:v>10236</c:v>
                </c:pt>
                <c:pt idx="116">
                  <c:v>1091</c:v>
                </c:pt>
                <c:pt idx="117">
                  <c:v>23260</c:v>
                </c:pt>
                <c:pt idx="118">
                  <c:v>3267</c:v>
                </c:pt>
                <c:pt idx="119">
                  <c:v>10572</c:v>
                </c:pt>
                <c:pt idx="120">
                  <c:v>5533</c:v>
                </c:pt>
                <c:pt idx="121">
                  <c:v>7835</c:v>
                </c:pt>
                <c:pt idx="122">
                  <c:v>16399</c:v>
                </c:pt>
                <c:pt idx="123">
                  <c:v>16367</c:v>
                </c:pt>
                <c:pt idx="124">
                  <c:v>12067</c:v>
                </c:pt>
                <c:pt idx="125">
                  <c:v>9705</c:v>
                </c:pt>
                <c:pt idx="126">
                  <c:v>5136</c:v>
                </c:pt>
                <c:pt idx="127">
                  <c:v>1237</c:v>
                </c:pt>
                <c:pt idx="128">
                  <c:v>7551</c:v>
                </c:pt>
                <c:pt idx="129">
                  <c:v>5855</c:v>
                </c:pt>
                <c:pt idx="130">
                  <c:v>7860</c:v>
                </c:pt>
                <c:pt idx="131">
                  <c:v>6200</c:v>
                </c:pt>
                <c:pt idx="132">
                  <c:v>2477</c:v>
                </c:pt>
                <c:pt idx="133">
                  <c:v>2832</c:v>
                </c:pt>
                <c:pt idx="134">
                  <c:v>3549</c:v>
                </c:pt>
                <c:pt idx="135">
                  <c:v>6280</c:v>
                </c:pt>
                <c:pt idx="136">
                  <c:v>12515</c:v>
                </c:pt>
                <c:pt idx="137">
                  <c:v>7090</c:v>
                </c:pt>
                <c:pt idx="138">
                  <c:v>1694</c:v>
                </c:pt>
                <c:pt idx="139">
                  <c:v>6571</c:v>
                </c:pt>
                <c:pt idx="140">
                  <c:v>6549</c:v>
                </c:pt>
                <c:pt idx="141">
                  <c:v>10096</c:v>
                </c:pt>
                <c:pt idx="142">
                  <c:v>8818</c:v>
                </c:pt>
                <c:pt idx="143">
                  <c:v>9234</c:v>
                </c:pt>
                <c:pt idx="144">
                  <c:v>2579</c:v>
                </c:pt>
                <c:pt idx="145">
                  <c:v>10791</c:v>
                </c:pt>
                <c:pt idx="146">
                  <c:v>10472</c:v>
                </c:pt>
                <c:pt idx="147">
                  <c:v>9728</c:v>
                </c:pt>
                <c:pt idx="148">
                  <c:v>6659</c:v>
                </c:pt>
                <c:pt idx="149">
                  <c:v>3962</c:v>
                </c:pt>
                <c:pt idx="150">
                  <c:v>6794</c:v>
                </c:pt>
                <c:pt idx="151">
                  <c:v>4766</c:v>
                </c:pt>
                <c:pt idx="152">
                  <c:v>6028</c:v>
                </c:pt>
                <c:pt idx="153">
                  <c:v>2918</c:v>
                </c:pt>
                <c:pt idx="154">
                  <c:v>6456</c:v>
                </c:pt>
                <c:pt idx="155">
                  <c:v>3466</c:v>
                </c:pt>
                <c:pt idx="156">
                  <c:v>3973</c:v>
                </c:pt>
                <c:pt idx="157">
                  <c:v>1830</c:v>
                </c:pt>
                <c:pt idx="158">
                  <c:v>1825</c:v>
                </c:pt>
                <c:pt idx="159">
                  <c:v>11614</c:v>
                </c:pt>
                <c:pt idx="160">
                  <c:v>13142</c:v>
                </c:pt>
                <c:pt idx="161">
                  <c:v>14144</c:v>
                </c:pt>
                <c:pt idx="162">
                  <c:v>10756</c:v>
                </c:pt>
                <c:pt idx="163">
                  <c:v>6369</c:v>
                </c:pt>
                <c:pt idx="164">
                  <c:v>27261</c:v>
                </c:pt>
                <c:pt idx="165">
                  <c:v>22743</c:v>
                </c:pt>
                <c:pt idx="166">
                  <c:v>7710</c:v>
                </c:pt>
                <c:pt idx="167">
                  <c:v>1601</c:v>
                </c:pt>
                <c:pt idx="168">
                  <c:v>14475</c:v>
                </c:pt>
                <c:pt idx="169">
                  <c:v>1143</c:v>
                </c:pt>
                <c:pt idx="170">
                  <c:v>7309</c:v>
                </c:pt>
                <c:pt idx="171">
                  <c:v>4290</c:v>
                </c:pt>
                <c:pt idx="172">
                  <c:v>2641</c:v>
                </c:pt>
                <c:pt idx="173">
                  <c:v>6243</c:v>
                </c:pt>
                <c:pt idx="174">
                  <c:v>4051</c:v>
                </c:pt>
                <c:pt idx="175">
                  <c:v>25994</c:v>
                </c:pt>
                <c:pt idx="176">
                  <c:v>25510</c:v>
                </c:pt>
                <c:pt idx="177">
                  <c:v>23693</c:v>
                </c:pt>
                <c:pt idx="178">
                  <c:v>5188</c:v>
                </c:pt>
                <c:pt idx="179">
                  <c:v>4990</c:v>
                </c:pt>
                <c:pt idx="180">
                  <c:v>2300</c:v>
                </c:pt>
                <c:pt idx="181">
                  <c:v>1964</c:v>
                </c:pt>
                <c:pt idx="182">
                  <c:v>9520</c:v>
                </c:pt>
                <c:pt idx="183">
                  <c:v>9937</c:v>
                </c:pt>
                <c:pt idx="184">
                  <c:v>15638</c:v>
                </c:pt>
                <c:pt idx="185">
                  <c:v>3818</c:v>
                </c:pt>
                <c:pt idx="186">
                  <c:v>3180</c:v>
                </c:pt>
                <c:pt idx="187">
                  <c:v>15464</c:v>
                </c:pt>
                <c:pt idx="188">
                  <c:v>2766</c:v>
                </c:pt>
                <c:pt idx="189">
                  <c:v>2030</c:v>
                </c:pt>
                <c:pt idx="190">
                  <c:v>11973</c:v>
                </c:pt>
                <c:pt idx="191">
                  <c:v>10478</c:v>
                </c:pt>
                <c:pt idx="192">
                  <c:v>13113</c:v>
                </c:pt>
                <c:pt idx="193">
                  <c:v>6638</c:v>
                </c:pt>
                <c:pt idx="194">
                  <c:v>6222</c:v>
                </c:pt>
                <c:pt idx="195">
                  <c:v>2509</c:v>
                </c:pt>
                <c:pt idx="196">
                  <c:v>2071</c:v>
                </c:pt>
                <c:pt idx="197">
                  <c:v>7950</c:v>
                </c:pt>
                <c:pt idx="198">
                  <c:v>1794</c:v>
                </c:pt>
                <c:pt idx="199">
                  <c:v>34273</c:v>
                </c:pt>
                <c:pt idx="200">
                  <c:v>8630</c:v>
                </c:pt>
                <c:pt idx="201">
                  <c:v>16385</c:v>
                </c:pt>
                <c:pt idx="202">
                  <c:v>8346</c:v>
                </c:pt>
                <c:pt idx="203">
                  <c:v>14446</c:v>
                </c:pt>
                <c:pt idx="204">
                  <c:v>3191</c:v>
                </c:pt>
                <c:pt idx="205">
                  <c:v>5307</c:v>
                </c:pt>
                <c:pt idx="206">
                  <c:v>8658</c:v>
                </c:pt>
                <c:pt idx="207">
                  <c:v>2730</c:v>
                </c:pt>
                <c:pt idx="208">
                  <c:v>10733</c:v>
                </c:pt>
                <c:pt idx="209">
                  <c:v>9922</c:v>
                </c:pt>
                <c:pt idx="210">
                  <c:v>12589</c:v>
                </c:pt>
                <c:pt idx="211">
                  <c:v>2733</c:v>
                </c:pt>
                <c:pt idx="212">
                  <c:v>6041</c:v>
                </c:pt>
                <c:pt idx="213">
                  <c:v>21194</c:v>
                </c:pt>
                <c:pt idx="214">
                  <c:v>1732</c:v>
                </c:pt>
                <c:pt idx="215">
                  <c:v>12274</c:v>
                </c:pt>
                <c:pt idx="216">
                  <c:v>3111</c:v>
                </c:pt>
                <c:pt idx="217">
                  <c:v>2540</c:v>
                </c:pt>
                <c:pt idx="218">
                  <c:v>5649</c:v>
                </c:pt>
                <c:pt idx="219">
                  <c:v>1040</c:v>
                </c:pt>
                <c:pt idx="220">
                  <c:v>10129</c:v>
                </c:pt>
                <c:pt idx="221">
                  <c:v>9951</c:v>
                </c:pt>
                <c:pt idx="222">
                  <c:v>9494</c:v>
                </c:pt>
                <c:pt idx="223">
                  <c:v>6022</c:v>
                </c:pt>
                <c:pt idx="224">
                  <c:v>1366</c:v>
                </c:pt>
                <c:pt idx="225">
                  <c:v>8992</c:v>
                </c:pt>
                <c:pt idx="226">
                  <c:v>3780</c:v>
                </c:pt>
                <c:pt idx="227">
                  <c:v>9582</c:v>
                </c:pt>
                <c:pt idx="228">
                  <c:v>1851</c:v>
                </c:pt>
                <c:pt idx="229">
                  <c:v>8440</c:v>
                </c:pt>
                <c:pt idx="230">
                  <c:v>8347</c:v>
                </c:pt>
                <c:pt idx="231">
                  <c:v>9800</c:v>
                </c:pt>
                <c:pt idx="232">
                  <c:v>1338</c:v>
                </c:pt>
                <c:pt idx="233">
                  <c:v>8180</c:v>
                </c:pt>
                <c:pt idx="234">
                  <c:v>6071</c:v>
                </c:pt>
                <c:pt idx="235">
                  <c:v>1103</c:v>
                </c:pt>
                <c:pt idx="236">
                  <c:v>7478</c:v>
                </c:pt>
                <c:pt idx="237">
                  <c:v>4206</c:v>
                </c:pt>
                <c:pt idx="238">
                  <c:v>6530</c:v>
                </c:pt>
                <c:pt idx="239">
                  <c:v>10604</c:v>
                </c:pt>
                <c:pt idx="240">
                  <c:v>4599</c:v>
                </c:pt>
                <c:pt idx="241">
                  <c:v>9262</c:v>
                </c:pt>
                <c:pt idx="242">
                  <c:v>5322</c:v>
                </c:pt>
                <c:pt idx="243">
                  <c:v>29445</c:v>
                </c:pt>
                <c:pt idx="244">
                  <c:v>2847</c:v>
                </c:pt>
                <c:pt idx="245">
                  <c:v>4235</c:v>
                </c:pt>
                <c:pt idx="246">
                  <c:v>13111</c:v>
                </c:pt>
                <c:pt idx="247">
                  <c:v>4850</c:v>
                </c:pt>
                <c:pt idx="248">
                  <c:v>3187</c:v>
                </c:pt>
                <c:pt idx="249">
                  <c:v>4844</c:v>
                </c:pt>
                <c:pt idx="250">
                  <c:v>2222</c:v>
                </c:pt>
                <c:pt idx="251">
                  <c:v>1860</c:v>
                </c:pt>
                <c:pt idx="252">
                  <c:v>8520</c:v>
                </c:pt>
                <c:pt idx="253">
                  <c:v>5475</c:v>
                </c:pt>
              </c:numCache>
            </c:numRef>
          </c:xVal>
          <c:yVal>
            <c:numRef>
              <c:f>Sheet1!$I$5:$I$258</c:f>
              <c:numCache>
                <c:formatCode>General</c:formatCode>
                <c:ptCount val="254"/>
                <c:pt idx="0">
                  <c:v>12</c:v>
                </c:pt>
                <c:pt idx="1">
                  <c:v>10</c:v>
                </c:pt>
                <c:pt idx="2">
                  <c:v>17</c:v>
                </c:pt>
                <c:pt idx="3">
                  <c:v>24</c:v>
                </c:pt>
                <c:pt idx="4">
                  <c:v>23</c:v>
                </c:pt>
                <c:pt idx="5">
                  <c:v>13</c:v>
                </c:pt>
                <c:pt idx="6">
                  <c:v>10</c:v>
                </c:pt>
                <c:pt idx="7">
                  <c:v>18</c:v>
                </c:pt>
                <c:pt idx="8">
                  <c:v>11</c:v>
                </c:pt>
                <c:pt idx="9">
                  <c:v>14</c:v>
                </c:pt>
                <c:pt idx="10">
                  <c:v>9</c:v>
                </c:pt>
                <c:pt idx="11">
                  <c:v>17</c:v>
                </c:pt>
                <c:pt idx="12">
                  <c:v>20</c:v>
                </c:pt>
                <c:pt idx="13">
                  <c:v>22</c:v>
                </c:pt>
                <c:pt idx="14">
                  <c:v>30</c:v>
                </c:pt>
                <c:pt idx="15">
                  <c:v>17</c:v>
                </c:pt>
                <c:pt idx="16">
                  <c:v>13</c:v>
                </c:pt>
                <c:pt idx="17">
                  <c:v>21</c:v>
                </c:pt>
                <c:pt idx="18">
                  <c:v>12</c:v>
                </c:pt>
                <c:pt idx="19">
                  <c:v>14</c:v>
                </c:pt>
                <c:pt idx="20">
                  <c:v>7</c:v>
                </c:pt>
                <c:pt idx="21">
                  <c:v>41</c:v>
                </c:pt>
                <c:pt idx="22">
                  <c:v>24</c:v>
                </c:pt>
                <c:pt idx="23">
                  <c:v>20</c:v>
                </c:pt>
                <c:pt idx="24">
                  <c:v>8</c:v>
                </c:pt>
                <c:pt idx="25">
                  <c:v>14</c:v>
                </c:pt>
                <c:pt idx="26">
                  <c:v>22</c:v>
                </c:pt>
                <c:pt idx="27">
                  <c:v>29</c:v>
                </c:pt>
                <c:pt idx="28">
                  <c:v>9</c:v>
                </c:pt>
                <c:pt idx="29">
                  <c:v>20</c:v>
                </c:pt>
                <c:pt idx="30">
                  <c:v>11</c:v>
                </c:pt>
                <c:pt idx="31">
                  <c:v>7</c:v>
                </c:pt>
                <c:pt idx="32">
                  <c:v>13</c:v>
                </c:pt>
                <c:pt idx="33">
                  <c:v>13</c:v>
                </c:pt>
                <c:pt idx="34">
                  <c:v>22</c:v>
                </c:pt>
                <c:pt idx="35">
                  <c:v>8</c:v>
                </c:pt>
                <c:pt idx="36">
                  <c:v>30</c:v>
                </c:pt>
                <c:pt idx="37">
                  <c:v>30</c:v>
                </c:pt>
                <c:pt idx="38">
                  <c:v>7</c:v>
                </c:pt>
                <c:pt idx="39">
                  <c:v>41</c:v>
                </c:pt>
                <c:pt idx="40">
                  <c:v>19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18</c:v>
                </c:pt>
                <c:pt idx="45">
                  <c:v>19</c:v>
                </c:pt>
                <c:pt idx="46">
                  <c:v>10</c:v>
                </c:pt>
                <c:pt idx="47">
                  <c:v>12</c:v>
                </c:pt>
                <c:pt idx="48">
                  <c:v>16</c:v>
                </c:pt>
                <c:pt idx="49">
                  <c:v>22</c:v>
                </c:pt>
                <c:pt idx="50">
                  <c:v>11</c:v>
                </c:pt>
                <c:pt idx="51">
                  <c:v>13</c:v>
                </c:pt>
                <c:pt idx="52">
                  <c:v>13</c:v>
                </c:pt>
                <c:pt idx="53">
                  <c:v>26</c:v>
                </c:pt>
                <c:pt idx="54">
                  <c:v>13</c:v>
                </c:pt>
                <c:pt idx="55">
                  <c:v>9</c:v>
                </c:pt>
                <c:pt idx="56">
                  <c:v>14</c:v>
                </c:pt>
                <c:pt idx="57">
                  <c:v>12</c:v>
                </c:pt>
                <c:pt idx="58">
                  <c:v>9</c:v>
                </c:pt>
                <c:pt idx="59">
                  <c:v>12</c:v>
                </c:pt>
                <c:pt idx="60">
                  <c:v>20</c:v>
                </c:pt>
                <c:pt idx="61">
                  <c:v>11</c:v>
                </c:pt>
                <c:pt idx="62">
                  <c:v>12</c:v>
                </c:pt>
                <c:pt idx="63">
                  <c:v>17</c:v>
                </c:pt>
                <c:pt idx="64">
                  <c:v>29</c:v>
                </c:pt>
                <c:pt idx="65">
                  <c:v>44</c:v>
                </c:pt>
                <c:pt idx="66">
                  <c:v>7</c:v>
                </c:pt>
                <c:pt idx="67">
                  <c:v>23</c:v>
                </c:pt>
                <c:pt idx="68">
                  <c:v>13</c:v>
                </c:pt>
                <c:pt idx="69">
                  <c:v>10</c:v>
                </c:pt>
                <c:pt idx="70">
                  <c:v>10</c:v>
                </c:pt>
                <c:pt idx="71">
                  <c:v>14</c:v>
                </c:pt>
                <c:pt idx="72">
                  <c:v>14</c:v>
                </c:pt>
                <c:pt idx="73">
                  <c:v>15</c:v>
                </c:pt>
                <c:pt idx="74">
                  <c:v>8</c:v>
                </c:pt>
                <c:pt idx="75">
                  <c:v>16</c:v>
                </c:pt>
                <c:pt idx="76">
                  <c:v>12</c:v>
                </c:pt>
                <c:pt idx="77">
                  <c:v>19</c:v>
                </c:pt>
                <c:pt idx="78">
                  <c:v>21</c:v>
                </c:pt>
                <c:pt idx="79">
                  <c:v>16</c:v>
                </c:pt>
                <c:pt idx="80">
                  <c:v>12</c:v>
                </c:pt>
                <c:pt idx="81">
                  <c:v>11</c:v>
                </c:pt>
                <c:pt idx="82">
                  <c:v>28</c:v>
                </c:pt>
                <c:pt idx="83">
                  <c:v>12</c:v>
                </c:pt>
                <c:pt idx="84">
                  <c:v>24</c:v>
                </c:pt>
                <c:pt idx="85">
                  <c:v>19</c:v>
                </c:pt>
                <c:pt idx="86">
                  <c:v>20</c:v>
                </c:pt>
                <c:pt idx="87">
                  <c:v>8</c:v>
                </c:pt>
                <c:pt idx="88">
                  <c:v>14</c:v>
                </c:pt>
                <c:pt idx="89">
                  <c:v>9</c:v>
                </c:pt>
                <c:pt idx="90">
                  <c:v>14</c:v>
                </c:pt>
                <c:pt idx="91">
                  <c:v>11</c:v>
                </c:pt>
                <c:pt idx="92">
                  <c:v>10</c:v>
                </c:pt>
                <c:pt idx="93">
                  <c:v>28</c:v>
                </c:pt>
                <c:pt idx="94">
                  <c:v>9</c:v>
                </c:pt>
                <c:pt idx="95">
                  <c:v>9</c:v>
                </c:pt>
                <c:pt idx="96">
                  <c:v>28</c:v>
                </c:pt>
                <c:pt idx="97">
                  <c:v>14</c:v>
                </c:pt>
                <c:pt idx="98">
                  <c:v>7</c:v>
                </c:pt>
                <c:pt idx="99">
                  <c:v>20</c:v>
                </c:pt>
                <c:pt idx="100">
                  <c:v>15</c:v>
                </c:pt>
                <c:pt idx="101">
                  <c:v>20</c:v>
                </c:pt>
                <c:pt idx="102">
                  <c:v>14</c:v>
                </c:pt>
                <c:pt idx="103">
                  <c:v>16</c:v>
                </c:pt>
                <c:pt idx="104">
                  <c:v>15</c:v>
                </c:pt>
                <c:pt idx="105">
                  <c:v>13</c:v>
                </c:pt>
                <c:pt idx="106">
                  <c:v>24</c:v>
                </c:pt>
                <c:pt idx="107">
                  <c:v>25</c:v>
                </c:pt>
                <c:pt idx="108">
                  <c:v>21</c:v>
                </c:pt>
                <c:pt idx="109">
                  <c:v>18</c:v>
                </c:pt>
                <c:pt idx="110">
                  <c:v>13</c:v>
                </c:pt>
                <c:pt idx="111">
                  <c:v>27</c:v>
                </c:pt>
                <c:pt idx="112">
                  <c:v>7</c:v>
                </c:pt>
                <c:pt idx="113">
                  <c:v>18</c:v>
                </c:pt>
                <c:pt idx="114">
                  <c:v>13</c:v>
                </c:pt>
                <c:pt idx="115">
                  <c:v>10</c:v>
                </c:pt>
                <c:pt idx="116">
                  <c:v>11</c:v>
                </c:pt>
                <c:pt idx="117">
                  <c:v>17</c:v>
                </c:pt>
                <c:pt idx="118">
                  <c:v>9</c:v>
                </c:pt>
                <c:pt idx="119">
                  <c:v>11</c:v>
                </c:pt>
                <c:pt idx="120">
                  <c:v>10</c:v>
                </c:pt>
                <c:pt idx="121">
                  <c:v>15</c:v>
                </c:pt>
                <c:pt idx="122">
                  <c:v>20</c:v>
                </c:pt>
                <c:pt idx="123">
                  <c:v>24</c:v>
                </c:pt>
                <c:pt idx="124">
                  <c:v>26</c:v>
                </c:pt>
                <c:pt idx="125">
                  <c:v>20</c:v>
                </c:pt>
                <c:pt idx="126">
                  <c:v>9</c:v>
                </c:pt>
                <c:pt idx="127">
                  <c:v>11</c:v>
                </c:pt>
                <c:pt idx="128">
                  <c:v>19</c:v>
                </c:pt>
                <c:pt idx="129">
                  <c:v>12</c:v>
                </c:pt>
                <c:pt idx="130">
                  <c:v>10</c:v>
                </c:pt>
                <c:pt idx="131">
                  <c:v>11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  <c:pt idx="135">
                  <c:v>18</c:v>
                </c:pt>
                <c:pt idx="136">
                  <c:v>26</c:v>
                </c:pt>
                <c:pt idx="137">
                  <c:v>14</c:v>
                </c:pt>
                <c:pt idx="138">
                  <c:v>9</c:v>
                </c:pt>
                <c:pt idx="139">
                  <c:v>18</c:v>
                </c:pt>
                <c:pt idx="140">
                  <c:v>14</c:v>
                </c:pt>
                <c:pt idx="141">
                  <c:v>14</c:v>
                </c:pt>
                <c:pt idx="142">
                  <c:v>10</c:v>
                </c:pt>
                <c:pt idx="143">
                  <c:v>19</c:v>
                </c:pt>
                <c:pt idx="144">
                  <c:v>12</c:v>
                </c:pt>
                <c:pt idx="145">
                  <c:v>17</c:v>
                </c:pt>
                <c:pt idx="146">
                  <c:v>15</c:v>
                </c:pt>
                <c:pt idx="147">
                  <c:v>19</c:v>
                </c:pt>
                <c:pt idx="148">
                  <c:v>16</c:v>
                </c:pt>
                <c:pt idx="149">
                  <c:v>10</c:v>
                </c:pt>
                <c:pt idx="150">
                  <c:v>20</c:v>
                </c:pt>
                <c:pt idx="151">
                  <c:v>8</c:v>
                </c:pt>
                <c:pt idx="152">
                  <c:v>10</c:v>
                </c:pt>
                <c:pt idx="153">
                  <c:v>11</c:v>
                </c:pt>
                <c:pt idx="154">
                  <c:v>21</c:v>
                </c:pt>
                <c:pt idx="155">
                  <c:v>9</c:v>
                </c:pt>
                <c:pt idx="156">
                  <c:v>13</c:v>
                </c:pt>
                <c:pt idx="157">
                  <c:v>10</c:v>
                </c:pt>
                <c:pt idx="158">
                  <c:v>10</c:v>
                </c:pt>
                <c:pt idx="159">
                  <c:v>22</c:v>
                </c:pt>
                <c:pt idx="160">
                  <c:v>16</c:v>
                </c:pt>
                <c:pt idx="161">
                  <c:v>30</c:v>
                </c:pt>
                <c:pt idx="162">
                  <c:v>11</c:v>
                </c:pt>
                <c:pt idx="163">
                  <c:v>12</c:v>
                </c:pt>
                <c:pt idx="164">
                  <c:v>39</c:v>
                </c:pt>
                <c:pt idx="165">
                  <c:v>21</c:v>
                </c:pt>
                <c:pt idx="166">
                  <c:v>16</c:v>
                </c:pt>
                <c:pt idx="167">
                  <c:v>7</c:v>
                </c:pt>
                <c:pt idx="168">
                  <c:v>27</c:v>
                </c:pt>
                <c:pt idx="169">
                  <c:v>8</c:v>
                </c:pt>
                <c:pt idx="170">
                  <c:v>13</c:v>
                </c:pt>
                <c:pt idx="171">
                  <c:v>7</c:v>
                </c:pt>
                <c:pt idx="172">
                  <c:v>11</c:v>
                </c:pt>
                <c:pt idx="173">
                  <c:v>12</c:v>
                </c:pt>
                <c:pt idx="174">
                  <c:v>10</c:v>
                </c:pt>
                <c:pt idx="175">
                  <c:v>22</c:v>
                </c:pt>
                <c:pt idx="176">
                  <c:v>39</c:v>
                </c:pt>
                <c:pt idx="177">
                  <c:v>25</c:v>
                </c:pt>
                <c:pt idx="178">
                  <c:v>14</c:v>
                </c:pt>
                <c:pt idx="179">
                  <c:v>9</c:v>
                </c:pt>
                <c:pt idx="180">
                  <c:v>12</c:v>
                </c:pt>
                <c:pt idx="181">
                  <c:v>9</c:v>
                </c:pt>
                <c:pt idx="182">
                  <c:v>13</c:v>
                </c:pt>
                <c:pt idx="183">
                  <c:v>18</c:v>
                </c:pt>
                <c:pt idx="184">
                  <c:v>22</c:v>
                </c:pt>
                <c:pt idx="185">
                  <c:v>14</c:v>
                </c:pt>
                <c:pt idx="186">
                  <c:v>10</c:v>
                </c:pt>
                <c:pt idx="187">
                  <c:v>20</c:v>
                </c:pt>
                <c:pt idx="188">
                  <c:v>9</c:v>
                </c:pt>
                <c:pt idx="189">
                  <c:v>10</c:v>
                </c:pt>
                <c:pt idx="190">
                  <c:v>14</c:v>
                </c:pt>
                <c:pt idx="191">
                  <c:v>12</c:v>
                </c:pt>
                <c:pt idx="192">
                  <c:v>22</c:v>
                </c:pt>
                <c:pt idx="193">
                  <c:v>17</c:v>
                </c:pt>
                <c:pt idx="194">
                  <c:v>22</c:v>
                </c:pt>
                <c:pt idx="195">
                  <c:v>9</c:v>
                </c:pt>
                <c:pt idx="196">
                  <c:v>14</c:v>
                </c:pt>
                <c:pt idx="197">
                  <c:v>13</c:v>
                </c:pt>
                <c:pt idx="198">
                  <c:v>14</c:v>
                </c:pt>
                <c:pt idx="199">
                  <c:v>33</c:v>
                </c:pt>
                <c:pt idx="200">
                  <c:v>13</c:v>
                </c:pt>
                <c:pt idx="201">
                  <c:v>21</c:v>
                </c:pt>
                <c:pt idx="202">
                  <c:v>11</c:v>
                </c:pt>
                <c:pt idx="203">
                  <c:v>28</c:v>
                </c:pt>
                <c:pt idx="204">
                  <c:v>10</c:v>
                </c:pt>
                <c:pt idx="205">
                  <c:v>9</c:v>
                </c:pt>
                <c:pt idx="206">
                  <c:v>19</c:v>
                </c:pt>
                <c:pt idx="207">
                  <c:v>10</c:v>
                </c:pt>
                <c:pt idx="208">
                  <c:v>10</c:v>
                </c:pt>
                <c:pt idx="209">
                  <c:v>18</c:v>
                </c:pt>
                <c:pt idx="210">
                  <c:v>24</c:v>
                </c:pt>
                <c:pt idx="211">
                  <c:v>12</c:v>
                </c:pt>
                <c:pt idx="212">
                  <c:v>20</c:v>
                </c:pt>
                <c:pt idx="213">
                  <c:v>16</c:v>
                </c:pt>
                <c:pt idx="214">
                  <c:v>10</c:v>
                </c:pt>
                <c:pt idx="215">
                  <c:v>17</c:v>
                </c:pt>
                <c:pt idx="216">
                  <c:v>13</c:v>
                </c:pt>
                <c:pt idx="217">
                  <c:v>13</c:v>
                </c:pt>
                <c:pt idx="218">
                  <c:v>14</c:v>
                </c:pt>
                <c:pt idx="219">
                  <c:v>10</c:v>
                </c:pt>
                <c:pt idx="220">
                  <c:v>14</c:v>
                </c:pt>
                <c:pt idx="221">
                  <c:v>19</c:v>
                </c:pt>
                <c:pt idx="222">
                  <c:v>11</c:v>
                </c:pt>
                <c:pt idx="223">
                  <c:v>17</c:v>
                </c:pt>
                <c:pt idx="224">
                  <c:v>14</c:v>
                </c:pt>
                <c:pt idx="225">
                  <c:v>12</c:v>
                </c:pt>
                <c:pt idx="226">
                  <c:v>13</c:v>
                </c:pt>
                <c:pt idx="227">
                  <c:v>12</c:v>
                </c:pt>
                <c:pt idx="228">
                  <c:v>7</c:v>
                </c:pt>
                <c:pt idx="229">
                  <c:v>21</c:v>
                </c:pt>
                <c:pt idx="230">
                  <c:v>14</c:v>
                </c:pt>
                <c:pt idx="231">
                  <c:v>13</c:v>
                </c:pt>
                <c:pt idx="232">
                  <c:v>11</c:v>
                </c:pt>
                <c:pt idx="233">
                  <c:v>15</c:v>
                </c:pt>
                <c:pt idx="234">
                  <c:v>14</c:v>
                </c:pt>
                <c:pt idx="235">
                  <c:v>9</c:v>
                </c:pt>
                <c:pt idx="236">
                  <c:v>18</c:v>
                </c:pt>
                <c:pt idx="237">
                  <c:v>8</c:v>
                </c:pt>
                <c:pt idx="238">
                  <c:v>21</c:v>
                </c:pt>
                <c:pt idx="239">
                  <c:v>10</c:v>
                </c:pt>
                <c:pt idx="240">
                  <c:v>8</c:v>
                </c:pt>
                <c:pt idx="241">
                  <c:v>22</c:v>
                </c:pt>
                <c:pt idx="242">
                  <c:v>14</c:v>
                </c:pt>
                <c:pt idx="243">
                  <c:v>24</c:v>
                </c:pt>
                <c:pt idx="244">
                  <c:v>7</c:v>
                </c:pt>
                <c:pt idx="245">
                  <c:v>13</c:v>
                </c:pt>
                <c:pt idx="246">
                  <c:v>21</c:v>
                </c:pt>
                <c:pt idx="247">
                  <c:v>12</c:v>
                </c:pt>
                <c:pt idx="248">
                  <c:v>11</c:v>
                </c:pt>
                <c:pt idx="249">
                  <c:v>10</c:v>
                </c:pt>
                <c:pt idx="250">
                  <c:v>9</c:v>
                </c:pt>
                <c:pt idx="251">
                  <c:v>11</c:v>
                </c:pt>
                <c:pt idx="252">
                  <c:v>10</c:v>
                </c:pt>
                <c:pt idx="25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F-44BC-9EDF-1E8E25B51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34831"/>
        <c:axId val="1472835791"/>
      </c:scatterChart>
      <c:valAx>
        <c:axId val="147283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835791"/>
        <c:crosses val="autoZero"/>
        <c:crossBetween val="midCat"/>
      </c:valAx>
      <c:valAx>
        <c:axId val="147283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83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0A43EF34-4D86-4E96-A9B9-9442834639C2}">
          <cx:spPr>
            <a:solidFill>
              <a:sysClr val="window" lastClr="FFFFFF"/>
            </a:solidFill>
            <a:ln w="3175">
              <a:solidFill>
                <a:sysClr val="windowText" lastClr="000000"/>
              </a:solidFill>
            </a:ln>
          </cx:spPr>
          <cx:dataLabels pos="outEnd"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General" sourceLinked="0"/>
        <cx:spPr>
          <a:ln w="3175"/>
        </cx:spPr>
      </cx:axis>
      <cx:axis id="1">
        <cx:valScaling/>
        <cx:majorGridlines/>
        <cx:tickLabels/>
      </cx:axis>
    </cx:plotArea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335280</xdr:colOff>
      <xdr:row>4</xdr:row>
      <xdr:rowOff>106680</xdr:rowOff>
    </xdr:from>
    <xdr:ext cx="1988820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40F066-E425-A4C1-596B-A90343538E1A}"/>
            </a:ext>
          </a:extLst>
        </xdr:cNvPr>
        <xdr:cNvSpPr txBox="1"/>
      </xdr:nvSpPr>
      <xdr:spPr>
        <a:xfrm>
          <a:off x="14097000" y="845820"/>
          <a:ext cx="1988820" cy="60901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For Statistical summary use </a:t>
          </a:r>
        </a:p>
        <a:p>
          <a:r>
            <a:rPr lang="en-IN" sz="1100"/>
            <a:t>Data&gt;&gt;DataAnalysis&gt;&gt;</a:t>
          </a:r>
          <a:r>
            <a:rPr lang="en-IN" sz="1100" baseline="0"/>
            <a:t>numeric columns&gt;&gt;statistical summary</a:t>
          </a:r>
        </a:p>
      </xdr:txBody>
    </xdr:sp>
    <xdr:clientData/>
  </xdr:oneCellAnchor>
  <xdr:oneCellAnchor>
    <xdr:from>
      <xdr:col>10</xdr:col>
      <xdr:colOff>546100</xdr:colOff>
      <xdr:row>19</xdr:row>
      <xdr:rowOff>60960</xdr:rowOff>
    </xdr:from>
    <xdr:ext cx="3705886" cy="2286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EA59B7-E8E7-A214-E660-50C9803D5C69}"/>
            </a:ext>
          </a:extLst>
        </xdr:cNvPr>
        <xdr:cNvSpPr txBox="1"/>
      </xdr:nvSpPr>
      <xdr:spPr>
        <a:xfrm>
          <a:off x="7688580" y="3556000"/>
          <a:ext cx="3705886" cy="2286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distribution normal for salary received by the employees?</a:t>
          </a:r>
          <a:endParaRPr lang="en-IN">
            <a:effectLst/>
          </a:endParaRPr>
        </a:p>
        <a:p>
          <a:endParaRPr lang="en-IN" sz="1100"/>
        </a:p>
      </xdr:txBody>
    </xdr:sp>
    <xdr:clientData/>
  </xdr:oneCellAnchor>
  <xdr:twoCellAnchor>
    <xdr:from>
      <xdr:col>10</xdr:col>
      <xdr:colOff>490220</xdr:colOff>
      <xdr:row>21</xdr:row>
      <xdr:rowOff>76200</xdr:rowOff>
    </xdr:from>
    <xdr:to>
      <xdr:col>17</xdr:col>
      <xdr:colOff>48260</xdr:colOff>
      <xdr:row>35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C3F410D-9B25-4509-ACFD-ABEA16392B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2700" y="3937000"/>
              <a:ext cx="4719320" cy="2529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20</xdr:col>
      <xdr:colOff>7620</xdr:colOff>
      <xdr:row>9</xdr:row>
      <xdr:rowOff>22860</xdr:rowOff>
    </xdr:from>
    <xdr:ext cx="3360420" cy="95346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B6B394-BB3D-9AAB-F4B9-FFC9A790AD9E}"/>
            </a:ext>
          </a:extLst>
        </xdr:cNvPr>
        <xdr:cNvSpPr txBox="1"/>
      </xdr:nvSpPr>
      <xdr:spPr>
        <a:xfrm>
          <a:off x="14378940" y="1676400"/>
          <a:ext cx="3360420" cy="95346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is the probability of finding security guards whose income lies between 15000 and 19500 in the above data , assuming normal distribution.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prob.dist(19500)-prob.dist(15000)</a:t>
          </a:r>
          <a:endParaRPr lang="en-IN">
            <a:effectLst/>
          </a:endParaRPr>
        </a:p>
        <a:p>
          <a:endParaRPr lang="en-IN" sz="1100"/>
        </a:p>
      </xdr:txBody>
    </xdr:sp>
    <xdr:clientData/>
  </xdr:oneCellAnchor>
  <xdr:oneCellAnchor>
    <xdr:from>
      <xdr:col>20</xdr:col>
      <xdr:colOff>15240</xdr:colOff>
      <xdr:row>17</xdr:row>
      <xdr:rowOff>7620</xdr:rowOff>
    </xdr:from>
    <xdr:ext cx="3368040" cy="78124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2564E9-7EA0-A1CC-206B-555B85D5B81A}"/>
            </a:ext>
          </a:extLst>
        </xdr:cNvPr>
        <xdr:cNvSpPr txBox="1"/>
      </xdr:nvSpPr>
      <xdr:spPr>
        <a:xfrm>
          <a:off x="14386560" y="3124200"/>
          <a:ext cx="3368040" cy="78124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Also, if the salary is lower than 6000, classify such employees as "temp". What is their proportion of such employees, mean salary, % of salary of the total wage bill?</a:t>
          </a:r>
          <a:endParaRPr lang="en-IN">
            <a:effectLst/>
          </a:endParaRPr>
        </a:p>
      </xdr:txBody>
    </xdr:sp>
    <xdr:clientData/>
  </xdr:oneCellAnchor>
  <xdr:twoCellAnchor>
    <xdr:from>
      <xdr:col>10</xdr:col>
      <xdr:colOff>518160</xdr:colOff>
      <xdr:row>36</xdr:row>
      <xdr:rowOff>86360</xdr:rowOff>
    </xdr:from>
    <xdr:to>
      <xdr:col>17</xdr:col>
      <xdr:colOff>162560</xdr:colOff>
      <xdr:row>49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3C6F02-7EBB-738F-9FD5-EE9206B3A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88DF-E560-4D64-ADB9-B59A3AE2379B}">
  <dimension ref="G4:AB258"/>
  <sheetViews>
    <sheetView tabSelected="1" zoomScale="75" workbookViewId="0">
      <selection activeCell="R31" sqref="R31"/>
    </sheetView>
  </sheetViews>
  <sheetFormatPr defaultRowHeight="14.4" x14ac:dyDescent="0.3"/>
  <cols>
    <col min="7" max="7" width="16.109375" customWidth="1"/>
    <col min="8" max="8" width="9" bestFit="1" customWidth="1"/>
    <col min="9" max="9" width="16.77734375" customWidth="1"/>
    <col min="12" max="12" width="9" bestFit="1" customWidth="1"/>
    <col min="16" max="16" width="18.21875" customWidth="1"/>
    <col min="17" max="17" width="12.44140625" bestFit="1" customWidth="1"/>
    <col min="18" max="18" width="16.21875" customWidth="1"/>
    <col min="19" max="19" width="9" bestFit="1" customWidth="1"/>
    <col min="20" max="20" width="16" customWidth="1"/>
    <col min="21" max="21" width="18.109375" customWidth="1"/>
    <col min="22" max="22" width="9" bestFit="1" customWidth="1"/>
  </cols>
  <sheetData>
    <row r="4" spans="7:21" ht="15" thickBot="1" x14ac:dyDescent="0.35">
      <c r="G4" t="s">
        <v>0</v>
      </c>
      <c r="H4" t="s">
        <v>1</v>
      </c>
      <c r="I4" t="s">
        <v>2</v>
      </c>
      <c r="J4" s="4" t="s">
        <v>241</v>
      </c>
    </row>
    <row r="5" spans="7:21" x14ac:dyDescent="0.3">
      <c r="G5" t="s">
        <v>3</v>
      </c>
      <c r="H5">
        <v>4992</v>
      </c>
      <c r="I5">
        <v>12</v>
      </c>
      <c r="J5" t="str">
        <f>IF(H5&lt;6000,"Temp","")</f>
        <v>Temp</v>
      </c>
      <c r="P5" s="3" t="s">
        <v>239</v>
      </c>
      <c r="Q5" s="3"/>
      <c r="R5" s="3" t="s">
        <v>240</v>
      </c>
      <c r="S5" s="3"/>
    </row>
    <row r="6" spans="7:21" x14ac:dyDescent="0.3">
      <c r="G6" t="s">
        <v>4</v>
      </c>
      <c r="H6">
        <v>8560</v>
      </c>
      <c r="I6">
        <v>10</v>
      </c>
      <c r="J6" t="str">
        <f t="shared" ref="J6:J69" si="0">IF(H6&lt;6000,"Temp","")</f>
        <v/>
      </c>
      <c r="M6" t="s">
        <v>239</v>
      </c>
      <c r="N6" t="s">
        <v>249</v>
      </c>
      <c r="P6" s="1"/>
      <c r="Q6" s="1"/>
      <c r="R6" s="1"/>
      <c r="S6" s="1"/>
    </row>
    <row r="7" spans="7:21" x14ac:dyDescent="0.3">
      <c r="G7" t="s">
        <v>5</v>
      </c>
      <c r="H7">
        <v>9381</v>
      </c>
      <c r="I7">
        <v>17</v>
      </c>
      <c r="J7" t="str">
        <f t="shared" si="0"/>
        <v/>
      </c>
      <c r="P7" s="1" t="s">
        <v>226</v>
      </c>
      <c r="Q7" s="1">
        <v>8316.6220472440946</v>
      </c>
      <c r="R7" s="1" t="s">
        <v>226</v>
      </c>
      <c r="S7" s="1">
        <v>15.492125984251969</v>
      </c>
    </row>
    <row r="8" spans="7:21" x14ac:dyDescent="0.3">
      <c r="G8" t="s">
        <v>6</v>
      </c>
      <c r="H8">
        <v>14872</v>
      </c>
      <c r="I8">
        <v>24</v>
      </c>
      <c r="J8" t="str">
        <f t="shared" si="0"/>
        <v/>
      </c>
      <c r="K8" s="10" t="s">
        <v>248</v>
      </c>
      <c r="L8" s="10"/>
      <c r="P8" s="1" t="s">
        <v>227</v>
      </c>
      <c r="Q8" s="1">
        <v>388.52882214033701</v>
      </c>
      <c r="R8" s="1" t="s">
        <v>227</v>
      </c>
      <c r="S8" s="1">
        <v>0.42349908069695269</v>
      </c>
    </row>
    <row r="9" spans="7:21" x14ac:dyDescent="0.3">
      <c r="G9" t="s">
        <v>7</v>
      </c>
      <c r="H9">
        <v>16408</v>
      </c>
      <c r="I9">
        <v>23</v>
      </c>
      <c r="J9" t="str">
        <f t="shared" si="0"/>
        <v/>
      </c>
      <c r="L9" s="6">
        <f>CORREL(H5:H258,I5:I258)</f>
        <v>0.80564533212758949</v>
      </c>
      <c r="P9" s="1" t="s">
        <v>228</v>
      </c>
      <c r="Q9" s="1">
        <v>6872.5</v>
      </c>
      <c r="R9" s="1" t="s">
        <v>228</v>
      </c>
      <c r="S9" s="1">
        <v>14</v>
      </c>
    </row>
    <row r="10" spans="7:21" x14ac:dyDescent="0.3">
      <c r="G10" t="s">
        <v>8</v>
      </c>
      <c r="H10">
        <v>4270</v>
      </c>
      <c r="I10">
        <v>13</v>
      </c>
      <c r="J10" t="str">
        <f t="shared" si="0"/>
        <v>Temp</v>
      </c>
      <c r="P10" s="1" t="s">
        <v>229</v>
      </c>
      <c r="Q10" s="1">
        <v>6200</v>
      </c>
      <c r="R10" s="1" t="s">
        <v>229</v>
      </c>
      <c r="S10" s="1">
        <v>14</v>
      </c>
    </row>
    <row r="11" spans="7:21" x14ac:dyDescent="0.3">
      <c r="G11" t="s">
        <v>9</v>
      </c>
      <c r="H11">
        <v>5841</v>
      </c>
      <c r="I11">
        <v>10</v>
      </c>
      <c r="J11" t="str">
        <f t="shared" si="0"/>
        <v>Temp</v>
      </c>
      <c r="P11" s="1" t="s">
        <v>230</v>
      </c>
      <c r="Q11" s="1">
        <v>6192.1304888523173</v>
      </c>
      <c r="R11" s="1" t="s">
        <v>230</v>
      </c>
      <c r="S11" s="1">
        <v>6.7494646990110017</v>
      </c>
    </row>
    <row r="12" spans="7:21" x14ac:dyDescent="0.3">
      <c r="G12" t="s">
        <v>10</v>
      </c>
      <c r="H12">
        <v>9726</v>
      </c>
      <c r="I12">
        <v>18</v>
      </c>
      <c r="J12" t="str">
        <f t="shared" si="0"/>
        <v/>
      </c>
      <c r="P12" s="1" t="s">
        <v>231</v>
      </c>
      <c r="Q12" s="1">
        <v>38342479.990974441</v>
      </c>
      <c r="R12" s="1" t="s">
        <v>231</v>
      </c>
      <c r="S12" s="1">
        <v>45.555273723195668</v>
      </c>
    </row>
    <row r="13" spans="7:21" x14ac:dyDescent="0.3">
      <c r="G13" t="s">
        <v>11</v>
      </c>
      <c r="H13">
        <v>3444</v>
      </c>
      <c r="I13">
        <v>11</v>
      </c>
      <c r="J13" t="str">
        <f t="shared" si="0"/>
        <v>Temp</v>
      </c>
      <c r="P13" s="1" t="s">
        <v>232</v>
      </c>
      <c r="Q13" s="1">
        <v>2.4454111281648974</v>
      </c>
      <c r="R13" s="1" t="s">
        <v>232</v>
      </c>
      <c r="S13" s="1">
        <v>2.5579868076190122</v>
      </c>
    </row>
    <row r="14" spans="7:21" x14ac:dyDescent="0.3">
      <c r="G14" t="s">
        <v>12</v>
      </c>
      <c r="H14">
        <v>2656</v>
      </c>
      <c r="I14">
        <v>14</v>
      </c>
      <c r="J14" t="str">
        <f t="shared" si="0"/>
        <v>Temp</v>
      </c>
      <c r="P14" s="1" t="s">
        <v>233</v>
      </c>
      <c r="Q14" s="1">
        <v>1.4531642797756426</v>
      </c>
      <c r="R14" s="1" t="s">
        <v>233</v>
      </c>
      <c r="S14" s="1">
        <v>1.4183095951043685</v>
      </c>
    </row>
    <row r="15" spans="7:21" x14ac:dyDescent="0.3">
      <c r="G15" t="s">
        <v>12</v>
      </c>
      <c r="H15">
        <v>1245</v>
      </c>
      <c r="I15">
        <v>9</v>
      </c>
      <c r="J15" t="str">
        <f t="shared" si="0"/>
        <v>Temp</v>
      </c>
      <c r="P15" s="1" t="s">
        <v>234</v>
      </c>
      <c r="Q15" s="1">
        <v>33233</v>
      </c>
      <c r="R15" s="1" t="s">
        <v>234</v>
      </c>
      <c r="S15" s="1">
        <v>37</v>
      </c>
    </row>
    <row r="16" spans="7:21" x14ac:dyDescent="0.3">
      <c r="G16" t="s">
        <v>13</v>
      </c>
      <c r="H16">
        <v>6930</v>
      </c>
      <c r="I16">
        <v>17</v>
      </c>
      <c r="J16" t="str">
        <f t="shared" si="0"/>
        <v/>
      </c>
      <c r="P16" s="1" t="s">
        <v>235</v>
      </c>
      <c r="Q16" s="1">
        <v>1040</v>
      </c>
      <c r="R16" s="1" t="s">
        <v>235</v>
      </c>
      <c r="S16" s="1">
        <v>7</v>
      </c>
      <c r="U16" s="8">
        <f>_xlfn.NORM.DIST(19500,Q7,Q11,TRUE)-_xlfn.NORM.DIST(15000,Q7,Q11,TRUE)</f>
        <v>0.10476514787472224</v>
      </c>
    </row>
    <row r="17" spans="7:22" x14ac:dyDescent="0.3">
      <c r="G17" t="s">
        <v>14</v>
      </c>
      <c r="H17">
        <v>8493</v>
      </c>
      <c r="I17">
        <v>20</v>
      </c>
      <c r="J17" t="str">
        <f t="shared" si="0"/>
        <v/>
      </c>
      <c r="P17" s="1" t="s">
        <v>236</v>
      </c>
      <c r="Q17" s="1">
        <v>34273</v>
      </c>
      <c r="R17" s="1" t="s">
        <v>236</v>
      </c>
      <c r="S17" s="1">
        <v>44</v>
      </c>
    </row>
    <row r="18" spans="7:22" x14ac:dyDescent="0.3">
      <c r="G18" t="s">
        <v>15</v>
      </c>
      <c r="H18">
        <v>23744</v>
      </c>
      <c r="I18">
        <v>22</v>
      </c>
      <c r="J18" t="str">
        <f t="shared" si="0"/>
        <v/>
      </c>
      <c r="P18" s="1" t="s">
        <v>237</v>
      </c>
      <c r="Q18" s="1">
        <v>2112422</v>
      </c>
      <c r="R18" s="1" t="s">
        <v>237</v>
      </c>
      <c r="S18" s="1">
        <v>3935</v>
      </c>
    </row>
    <row r="19" spans="7:22" ht="15" thickBot="1" x14ac:dyDescent="0.35">
      <c r="G19" t="s">
        <v>15</v>
      </c>
      <c r="H19">
        <v>21705</v>
      </c>
      <c r="I19">
        <v>30</v>
      </c>
      <c r="J19" t="str">
        <f t="shared" si="0"/>
        <v/>
      </c>
      <c r="P19" s="2" t="s">
        <v>238</v>
      </c>
      <c r="Q19" s="2">
        <v>254</v>
      </c>
      <c r="R19" s="2" t="s">
        <v>238</v>
      </c>
      <c r="S19" s="2">
        <v>254</v>
      </c>
    </row>
    <row r="20" spans="7:22" x14ac:dyDescent="0.3">
      <c r="G20" t="s">
        <v>16</v>
      </c>
      <c r="H20">
        <v>9047</v>
      </c>
      <c r="I20">
        <v>17</v>
      </c>
      <c r="J20" t="str">
        <f t="shared" si="0"/>
        <v/>
      </c>
    </row>
    <row r="21" spans="7:22" x14ac:dyDescent="0.3">
      <c r="G21" t="s">
        <v>17</v>
      </c>
      <c r="H21">
        <v>2257</v>
      </c>
      <c r="I21">
        <v>13</v>
      </c>
      <c r="J21" t="str">
        <f t="shared" si="0"/>
        <v>Temp</v>
      </c>
    </row>
    <row r="22" spans="7:22" x14ac:dyDescent="0.3">
      <c r="G22" t="s">
        <v>18</v>
      </c>
      <c r="H22">
        <v>14730</v>
      </c>
      <c r="I22">
        <v>21</v>
      </c>
      <c r="J22" t="str">
        <f t="shared" si="0"/>
        <v/>
      </c>
    </row>
    <row r="23" spans="7:22" x14ac:dyDescent="0.3">
      <c r="G23" t="s">
        <v>18</v>
      </c>
      <c r="H23">
        <v>10699</v>
      </c>
      <c r="I23">
        <v>12</v>
      </c>
      <c r="J23" t="str">
        <f t="shared" si="0"/>
        <v/>
      </c>
    </row>
    <row r="24" spans="7:22" x14ac:dyDescent="0.3">
      <c r="G24" t="s">
        <v>18</v>
      </c>
      <c r="H24">
        <v>3233</v>
      </c>
      <c r="I24">
        <v>14</v>
      </c>
      <c r="J24" t="str">
        <f t="shared" si="0"/>
        <v>Temp</v>
      </c>
      <c r="U24" s="5" t="s">
        <v>242</v>
      </c>
      <c r="V24" s="6">
        <f>COUNTIF(J5:J258,"Temp")</f>
        <v>106</v>
      </c>
    </row>
    <row r="25" spans="7:22" x14ac:dyDescent="0.3">
      <c r="G25" t="s">
        <v>18</v>
      </c>
      <c r="H25">
        <v>2147</v>
      </c>
      <c r="I25">
        <v>7</v>
      </c>
      <c r="J25" t="str">
        <f t="shared" si="0"/>
        <v>Temp</v>
      </c>
      <c r="U25" s="5" t="s">
        <v>243</v>
      </c>
      <c r="V25" s="6">
        <f>COUNT(H5:H258)</f>
        <v>254</v>
      </c>
    </row>
    <row r="26" spans="7:22" x14ac:dyDescent="0.3">
      <c r="G26" t="s">
        <v>19</v>
      </c>
      <c r="H26">
        <v>28808</v>
      </c>
      <c r="I26">
        <v>41</v>
      </c>
      <c r="J26" t="str">
        <f t="shared" si="0"/>
        <v/>
      </c>
      <c r="U26" s="5" t="s">
        <v>244</v>
      </c>
      <c r="V26" s="7">
        <f>V24/V25</f>
        <v>0.41732283464566927</v>
      </c>
    </row>
    <row r="27" spans="7:22" x14ac:dyDescent="0.3">
      <c r="G27" t="s">
        <v>19</v>
      </c>
      <c r="H27">
        <v>12959</v>
      </c>
      <c r="I27">
        <v>24</v>
      </c>
      <c r="J27" t="str">
        <f t="shared" si="0"/>
        <v/>
      </c>
      <c r="U27" s="6"/>
      <c r="V27" s="6"/>
    </row>
    <row r="28" spans="7:22" x14ac:dyDescent="0.3">
      <c r="G28" t="s">
        <v>20</v>
      </c>
      <c r="H28">
        <v>12269</v>
      </c>
      <c r="I28">
        <v>20</v>
      </c>
      <c r="J28" t="str">
        <f t="shared" si="0"/>
        <v/>
      </c>
      <c r="U28" s="5" t="s">
        <v>226</v>
      </c>
      <c r="V28" s="6">
        <f>AVERAGEIF(H5:H258,"&lt;6000")</f>
        <v>3262.8773584905662</v>
      </c>
    </row>
    <row r="29" spans="7:22" x14ac:dyDescent="0.3">
      <c r="G29" t="s">
        <v>21</v>
      </c>
      <c r="H29">
        <v>5041</v>
      </c>
      <c r="I29">
        <v>8</v>
      </c>
      <c r="J29" t="str">
        <f t="shared" si="0"/>
        <v>Temp</v>
      </c>
      <c r="U29" s="6"/>
      <c r="V29" s="6"/>
    </row>
    <row r="30" spans="7:22" x14ac:dyDescent="0.3">
      <c r="G30" t="s">
        <v>22</v>
      </c>
      <c r="H30">
        <v>4060</v>
      </c>
      <c r="I30">
        <v>14</v>
      </c>
      <c r="J30" t="str">
        <f t="shared" si="0"/>
        <v>Temp</v>
      </c>
      <c r="U30" s="5" t="s">
        <v>245</v>
      </c>
      <c r="V30" s="6">
        <f>SUM(H5:H258)</f>
        <v>2112422</v>
      </c>
    </row>
    <row r="31" spans="7:22" x14ac:dyDescent="0.3">
      <c r="G31" t="s">
        <v>23</v>
      </c>
      <c r="H31">
        <v>19819</v>
      </c>
      <c r="I31">
        <v>22</v>
      </c>
      <c r="J31" t="str">
        <f t="shared" si="0"/>
        <v/>
      </c>
      <c r="U31" s="5" t="s">
        <v>246</v>
      </c>
      <c r="V31" s="6">
        <f>SUMIF(H5:H258,"&lt;6000")</f>
        <v>345865</v>
      </c>
    </row>
    <row r="32" spans="7:22" x14ac:dyDescent="0.3">
      <c r="G32" t="s">
        <v>24</v>
      </c>
      <c r="H32">
        <v>18332</v>
      </c>
      <c r="I32">
        <v>29</v>
      </c>
      <c r="J32" t="str">
        <f t="shared" si="0"/>
        <v/>
      </c>
      <c r="U32" s="5" t="s">
        <v>247</v>
      </c>
      <c r="V32" s="7">
        <f>V31/V30</f>
        <v>0.16372912230605438</v>
      </c>
    </row>
    <row r="33" spans="7:25" x14ac:dyDescent="0.3">
      <c r="G33" t="s">
        <v>25</v>
      </c>
      <c r="H33">
        <v>1386</v>
      </c>
      <c r="I33">
        <v>9</v>
      </c>
      <c r="J33" t="str">
        <f t="shared" si="0"/>
        <v>Temp</v>
      </c>
    </row>
    <row r="34" spans="7:25" x14ac:dyDescent="0.3">
      <c r="G34" t="s">
        <v>26</v>
      </c>
      <c r="H34">
        <v>6658</v>
      </c>
      <c r="I34">
        <v>20</v>
      </c>
      <c r="J34" t="str">
        <f t="shared" si="0"/>
        <v/>
      </c>
    </row>
    <row r="35" spans="7:25" x14ac:dyDescent="0.3">
      <c r="G35" t="s">
        <v>27</v>
      </c>
      <c r="H35">
        <v>4208</v>
      </c>
      <c r="I35">
        <v>11</v>
      </c>
      <c r="J35" t="str">
        <f t="shared" si="0"/>
        <v>Temp</v>
      </c>
    </row>
    <row r="36" spans="7:25" x14ac:dyDescent="0.3">
      <c r="G36" t="s">
        <v>28</v>
      </c>
      <c r="H36">
        <v>3377</v>
      </c>
      <c r="I36">
        <v>7</v>
      </c>
      <c r="J36" t="str">
        <f t="shared" si="0"/>
        <v>Temp</v>
      </c>
    </row>
    <row r="37" spans="7:25" x14ac:dyDescent="0.3">
      <c r="G37" t="s">
        <v>29</v>
      </c>
      <c r="H37">
        <v>10070</v>
      </c>
      <c r="I37">
        <v>13</v>
      </c>
      <c r="J37" t="str">
        <f t="shared" si="0"/>
        <v/>
      </c>
      <c r="U37" s="9" t="s">
        <v>250</v>
      </c>
      <c r="V37" s="9"/>
      <c r="W37" s="9"/>
    </row>
    <row r="38" spans="7:25" x14ac:dyDescent="0.3">
      <c r="G38" t="s">
        <v>30</v>
      </c>
      <c r="H38">
        <v>1056</v>
      </c>
      <c r="I38">
        <v>13</v>
      </c>
      <c r="J38" t="str">
        <f t="shared" si="0"/>
        <v>Temp</v>
      </c>
      <c r="T38" t="s">
        <v>251</v>
      </c>
    </row>
    <row r="39" spans="7:25" ht="15" thickBot="1" x14ac:dyDescent="0.35">
      <c r="G39" t="s">
        <v>31</v>
      </c>
      <c r="H39">
        <v>17871</v>
      </c>
      <c r="I39">
        <v>22</v>
      </c>
      <c r="J39" t="str">
        <f t="shared" si="0"/>
        <v/>
      </c>
    </row>
    <row r="40" spans="7:25" x14ac:dyDescent="0.3">
      <c r="G40" t="s">
        <v>32</v>
      </c>
      <c r="H40">
        <v>3284</v>
      </c>
      <c r="I40">
        <v>8</v>
      </c>
      <c r="J40" t="str">
        <f t="shared" si="0"/>
        <v>Temp</v>
      </c>
      <c r="T40" s="11" t="s">
        <v>252</v>
      </c>
      <c r="U40" s="11"/>
    </row>
    <row r="41" spans="7:25" x14ac:dyDescent="0.3">
      <c r="G41" t="s">
        <v>33</v>
      </c>
      <c r="H41">
        <v>19194</v>
      </c>
      <c r="I41">
        <v>30</v>
      </c>
      <c r="J41" t="str">
        <f t="shared" si="0"/>
        <v/>
      </c>
      <c r="T41" s="1" t="s">
        <v>253</v>
      </c>
      <c r="U41" s="1">
        <v>0.80564533212758982</v>
      </c>
    </row>
    <row r="42" spans="7:25" x14ac:dyDescent="0.3">
      <c r="G42" t="s">
        <v>34</v>
      </c>
      <c r="H42">
        <v>13248</v>
      </c>
      <c r="I42">
        <v>30</v>
      </c>
      <c r="J42" t="str">
        <f t="shared" si="0"/>
        <v/>
      </c>
      <c r="T42" s="1" t="s">
        <v>254</v>
      </c>
      <c r="U42" s="1">
        <v>0.64906440117897457</v>
      </c>
    </row>
    <row r="43" spans="7:25" x14ac:dyDescent="0.3">
      <c r="G43" t="s">
        <v>35</v>
      </c>
      <c r="H43">
        <v>1594</v>
      </c>
      <c r="I43">
        <v>7</v>
      </c>
      <c r="J43" t="str">
        <f t="shared" si="0"/>
        <v>Temp</v>
      </c>
      <c r="T43" s="1" t="s">
        <v>255</v>
      </c>
      <c r="U43" s="1">
        <v>0.64767179959635146</v>
      </c>
    </row>
    <row r="44" spans="7:25" x14ac:dyDescent="0.3">
      <c r="G44" t="s">
        <v>36</v>
      </c>
      <c r="H44">
        <v>30230</v>
      </c>
      <c r="I44">
        <v>41</v>
      </c>
      <c r="J44" t="str">
        <f t="shared" si="0"/>
        <v/>
      </c>
      <c r="T44" s="1" t="s">
        <v>227</v>
      </c>
      <c r="U44" s="1">
        <v>3675.4777885647645</v>
      </c>
    </row>
    <row r="45" spans="7:25" ht="15" thickBot="1" x14ac:dyDescent="0.35">
      <c r="G45" t="s">
        <v>37</v>
      </c>
      <c r="H45">
        <v>8781</v>
      </c>
      <c r="I45">
        <v>19</v>
      </c>
      <c r="J45" t="str">
        <f t="shared" si="0"/>
        <v/>
      </c>
      <c r="T45" s="2" t="s">
        <v>256</v>
      </c>
      <c r="U45" s="2">
        <v>254</v>
      </c>
    </row>
    <row r="46" spans="7:25" x14ac:dyDescent="0.3">
      <c r="G46" t="s">
        <v>38</v>
      </c>
      <c r="H46">
        <v>2389</v>
      </c>
      <c r="I46">
        <v>14</v>
      </c>
      <c r="J46" t="str">
        <f t="shared" si="0"/>
        <v>Temp</v>
      </c>
    </row>
    <row r="47" spans="7:25" ht="15" thickBot="1" x14ac:dyDescent="0.35">
      <c r="G47" t="s">
        <v>39</v>
      </c>
      <c r="H47">
        <v>5524</v>
      </c>
      <c r="I47">
        <v>14</v>
      </c>
      <c r="J47" t="str">
        <f t="shared" si="0"/>
        <v>Temp</v>
      </c>
      <c r="T47" t="s">
        <v>257</v>
      </c>
    </row>
    <row r="48" spans="7:25" x14ac:dyDescent="0.3">
      <c r="G48" t="s">
        <v>40</v>
      </c>
      <c r="H48">
        <v>4225</v>
      </c>
      <c r="I48">
        <v>14</v>
      </c>
      <c r="J48" t="str">
        <f t="shared" si="0"/>
        <v>Temp</v>
      </c>
      <c r="T48" s="3"/>
      <c r="U48" s="3" t="s">
        <v>261</v>
      </c>
      <c r="V48" s="3" t="s">
        <v>262</v>
      </c>
      <c r="W48" s="3" t="s">
        <v>263</v>
      </c>
      <c r="X48" s="3" t="s">
        <v>264</v>
      </c>
      <c r="Y48" s="3" t="s">
        <v>265</v>
      </c>
    </row>
    <row r="49" spans="7:28" x14ac:dyDescent="0.3">
      <c r="G49" t="s">
        <v>41</v>
      </c>
      <c r="H49">
        <v>8733</v>
      </c>
      <c r="I49">
        <v>18</v>
      </c>
      <c r="J49" t="str">
        <f t="shared" si="0"/>
        <v/>
      </c>
      <c r="T49" s="1" t="s">
        <v>258</v>
      </c>
      <c r="U49" s="1">
        <v>1</v>
      </c>
      <c r="V49" s="1">
        <v>6296344920.209837</v>
      </c>
      <c r="W49" s="1">
        <v>6296344920.209837</v>
      </c>
      <c r="X49" s="1">
        <v>466.08047073764703</v>
      </c>
      <c r="Y49" s="1">
        <v>3.1074273295705624E-59</v>
      </c>
    </row>
    <row r="50" spans="7:28" x14ac:dyDescent="0.3">
      <c r="G50" t="s">
        <v>42</v>
      </c>
      <c r="H50">
        <v>6971</v>
      </c>
      <c r="I50">
        <v>19</v>
      </c>
      <c r="J50" t="str">
        <f t="shared" si="0"/>
        <v/>
      </c>
      <c r="T50" s="1" t="s">
        <v>259</v>
      </c>
      <c r="U50" s="1">
        <v>252</v>
      </c>
      <c r="V50" s="1">
        <v>3404302517.5066986</v>
      </c>
      <c r="W50" s="1">
        <v>13509136.974232931</v>
      </c>
      <c r="X50" s="1"/>
      <c r="Y50" s="1"/>
    </row>
    <row r="51" spans="7:28" ht="15" thickBot="1" x14ac:dyDescent="0.35">
      <c r="G51" t="s">
        <v>43</v>
      </c>
      <c r="H51">
        <v>5129</v>
      </c>
      <c r="I51">
        <v>10</v>
      </c>
      <c r="J51" t="str">
        <f t="shared" si="0"/>
        <v>Temp</v>
      </c>
      <c r="T51" s="2" t="s">
        <v>243</v>
      </c>
      <c r="U51" s="2">
        <v>253</v>
      </c>
      <c r="V51" s="2">
        <v>9700647437.7165356</v>
      </c>
      <c r="W51" s="2"/>
      <c r="X51" s="2"/>
      <c r="Y51" s="2"/>
    </row>
    <row r="52" spans="7:28" ht="15" thickBot="1" x14ac:dyDescent="0.35">
      <c r="G52" t="s">
        <v>44</v>
      </c>
      <c r="H52">
        <v>9847</v>
      </c>
      <c r="I52">
        <v>12</v>
      </c>
      <c r="J52" t="str">
        <f t="shared" si="0"/>
        <v/>
      </c>
    </row>
    <row r="53" spans="7:28" x14ac:dyDescent="0.3">
      <c r="G53" t="s">
        <v>45</v>
      </c>
      <c r="H53">
        <v>9880</v>
      </c>
      <c r="I53">
        <v>16</v>
      </c>
      <c r="J53" t="str">
        <f t="shared" si="0"/>
        <v/>
      </c>
      <c r="T53" s="3"/>
      <c r="U53" s="3" t="s">
        <v>266</v>
      </c>
      <c r="V53" s="3" t="s">
        <v>227</v>
      </c>
      <c r="W53" s="3" t="s">
        <v>267</v>
      </c>
      <c r="X53" s="3" t="s">
        <v>268</v>
      </c>
      <c r="Y53" s="3" t="s">
        <v>269</v>
      </c>
      <c r="Z53" s="3" t="s">
        <v>270</v>
      </c>
      <c r="AA53" s="3" t="s">
        <v>271</v>
      </c>
      <c r="AB53" s="3" t="s">
        <v>272</v>
      </c>
    </row>
    <row r="54" spans="7:28" x14ac:dyDescent="0.3">
      <c r="G54" t="s">
        <v>46</v>
      </c>
      <c r="H54">
        <v>14025</v>
      </c>
      <c r="I54">
        <v>22</v>
      </c>
      <c r="J54" t="str">
        <f t="shared" si="0"/>
        <v/>
      </c>
      <c r="T54" s="1" t="s">
        <v>260</v>
      </c>
      <c r="U54" s="1">
        <v>-3133.9104804723938</v>
      </c>
      <c r="V54" s="1">
        <v>578.35889127200062</v>
      </c>
      <c r="W54" s="1">
        <v>-5.4186259220116737</v>
      </c>
      <c r="X54" s="1">
        <v>1.4030050929555891E-7</v>
      </c>
      <c r="Y54" s="1">
        <v>-4272.943416151913</v>
      </c>
      <c r="Z54" s="1">
        <v>-1994.8775447928745</v>
      </c>
      <c r="AA54" s="1">
        <v>-4272.943416151913</v>
      </c>
      <c r="AB54" s="1">
        <v>-1994.8775447928745</v>
      </c>
    </row>
    <row r="55" spans="7:28" ht="15" thickBot="1" x14ac:dyDescent="0.35">
      <c r="G55" t="s">
        <v>46</v>
      </c>
      <c r="H55">
        <v>4740</v>
      </c>
      <c r="I55">
        <v>11</v>
      </c>
      <c r="J55" t="str">
        <f t="shared" si="0"/>
        <v>Temp</v>
      </c>
      <c r="T55" s="2" t="s">
        <v>2</v>
      </c>
      <c r="U55" s="2">
        <v>739.11950750698554</v>
      </c>
      <c r="V55" s="2">
        <v>34.23609412918676</v>
      </c>
      <c r="W55" s="2">
        <v>21.588896931933469</v>
      </c>
      <c r="X55" s="2">
        <v>3.107427329570917E-59</v>
      </c>
      <c r="Y55" s="2">
        <v>671.69417802618011</v>
      </c>
      <c r="Z55" s="2">
        <v>806.54483698779097</v>
      </c>
      <c r="AA55" s="2">
        <v>671.69417802618011</v>
      </c>
      <c r="AB55" s="2">
        <v>806.54483698779097</v>
      </c>
    </row>
    <row r="56" spans="7:28" x14ac:dyDescent="0.3">
      <c r="G56" t="s">
        <v>46</v>
      </c>
      <c r="H56">
        <v>3183</v>
      </c>
      <c r="I56">
        <v>13</v>
      </c>
      <c r="J56" t="str">
        <f t="shared" si="0"/>
        <v>Temp</v>
      </c>
    </row>
    <row r="57" spans="7:28" x14ac:dyDescent="0.3">
      <c r="G57" t="s">
        <v>46</v>
      </c>
      <c r="H57">
        <v>1200</v>
      </c>
      <c r="I57">
        <v>13</v>
      </c>
      <c r="J57" t="str">
        <f t="shared" si="0"/>
        <v>Temp</v>
      </c>
    </row>
    <row r="58" spans="7:28" x14ac:dyDescent="0.3">
      <c r="G58" t="s">
        <v>47</v>
      </c>
      <c r="H58">
        <v>15874</v>
      </c>
      <c r="I58">
        <v>26</v>
      </c>
      <c r="J58" t="str">
        <f t="shared" si="0"/>
        <v/>
      </c>
    </row>
    <row r="59" spans="7:28" x14ac:dyDescent="0.3">
      <c r="G59" t="s">
        <v>48</v>
      </c>
      <c r="H59">
        <v>10904</v>
      </c>
      <c r="I59">
        <v>13</v>
      </c>
      <c r="J59" t="str">
        <f t="shared" si="0"/>
        <v/>
      </c>
    </row>
    <row r="60" spans="7:28" x14ac:dyDescent="0.3">
      <c r="G60" t="s">
        <v>49</v>
      </c>
      <c r="H60">
        <v>2719</v>
      </c>
      <c r="I60">
        <v>9</v>
      </c>
      <c r="J60" t="str">
        <f t="shared" si="0"/>
        <v>Temp</v>
      </c>
    </row>
    <row r="61" spans="7:28" x14ac:dyDescent="0.3">
      <c r="G61" t="s">
        <v>50</v>
      </c>
      <c r="H61">
        <v>7358</v>
      </c>
      <c r="I61">
        <v>14</v>
      </c>
      <c r="J61" t="str">
        <f t="shared" si="0"/>
        <v/>
      </c>
    </row>
    <row r="62" spans="7:28" x14ac:dyDescent="0.3">
      <c r="G62" t="s">
        <v>51</v>
      </c>
      <c r="H62">
        <v>5885</v>
      </c>
      <c r="I62">
        <v>12</v>
      </c>
      <c r="J62" t="str">
        <f t="shared" si="0"/>
        <v>Temp</v>
      </c>
    </row>
    <row r="63" spans="7:28" x14ac:dyDescent="0.3">
      <c r="G63" t="s">
        <v>52</v>
      </c>
      <c r="H63">
        <v>5122</v>
      </c>
      <c r="I63">
        <v>9</v>
      </c>
      <c r="J63" t="str">
        <f t="shared" si="0"/>
        <v>Temp</v>
      </c>
    </row>
    <row r="64" spans="7:28" x14ac:dyDescent="0.3">
      <c r="G64" t="s">
        <v>53</v>
      </c>
      <c r="H64">
        <v>11600</v>
      </c>
      <c r="I64">
        <v>12</v>
      </c>
      <c r="J64" t="str">
        <f t="shared" si="0"/>
        <v/>
      </c>
    </row>
    <row r="65" spans="7:10" x14ac:dyDescent="0.3">
      <c r="G65" t="s">
        <v>54</v>
      </c>
      <c r="H65">
        <v>10480</v>
      </c>
      <c r="I65">
        <v>20</v>
      </c>
      <c r="J65" t="str">
        <f t="shared" si="0"/>
        <v/>
      </c>
    </row>
    <row r="66" spans="7:10" x14ac:dyDescent="0.3">
      <c r="G66" t="s">
        <v>55</v>
      </c>
      <c r="H66">
        <v>1216</v>
      </c>
      <c r="I66">
        <v>11</v>
      </c>
      <c r="J66" t="str">
        <f t="shared" si="0"/>
        <v>Temp</v>
      </c>
    </row>
    <row r="67" spans="7:10" x14ac:dyDescent="0.3">
      <c r="G67" t="s">
        <v>56</v>
      </c>
      <c r="H67">
        <v>4765</v>
      </c>
      <c r="I67">
        <v>12</v>
      </c>
      <c r="J67" t="str">
        <f t="shared" si="0"/>
        <v>Temp</v>
      </c>
    </row>
    <row r="68" spans="7:10" x14ac:dyDescent="0.3">
      <c r="G68" t="s">
        <v>57</v>
      </c>
      <c r="H68">
        <v>8226</v>
      </c>
      <c r="I68">
        <v>17</v>
      </c>
      <c r="J68" t="str">
        <f t="shared" si="0"/>
        <v/>
      </c>
    </row>
    <row r="69" spans="7:10" x14ac:dyDescent="0.3">
      <c r="G69" t="s">
        <v>58</v>
      </c>
      <c r="H69">
        <v>14381</v>
      </c>
      <c r="I69">
        <v>29</v>
      </c>
      <c r="J69" t="str">
        <f t="shared" si="0"/>
        <v/>
      </c>
    </row>
    <row r="70" spans="7:10" x14ac:dyDescent="0.3">
      <c r="G70" t="s">
        <v>59</v>
      </c>
      <c r="H70">
        <v>25883</v>
      </c>
      <c r="I70">
        <v>44</v>
      </c>
      <c r="J70" t="str">
        <f t="shared" ref="J70:J133" si="1">IF(H70&lt;6000,"Temp","")</f>
        <v/>
      </c>
    </row>
    <row r="71" spans="7:10" x14ac:dyDescent="0.3">
      <c r="G71" t="s">
        <v>59</v>
      </c>
      <c r="H71">
        <v>1567</v>
      </c>
      <c r="I71">
        <v>7</v>
      </c>
      <c r="J71" t="str">
        <f t="shared" si="1"/>
        <v>Temp</v>
      </c>
    </row>
    <row r="72" spans="7:10" x14ac:dyDescent="0.3">
      <c r="G72" t="s">
        <v>60</v>
      </c>
      <c r="H72">
        <v>16602</v>
      </c>
      <c r="I72">
        <v>23</v>
      </c>
      <c r="J72" t="str">
        <f t="shared" si="1"/>
        <v/>
      </c>
    </row>
    <row r="73" spans="7:10" x14ac:dyDescent="0.3">
      <c r="G73" t="s">
        <v>61</v>
      </c>
      <c r="H73">
        <v>9692</v>
      </c>
      <c r="I73">
        <v>13</v>
      </c>
      <c r="J73" t="str">
        <f t="shared" si="1"/>
        <v/>
      </c>
    </row>
    <row r="74" spans="7:10" x14ac:dyDescent="0.3">
      <c r="G74" t="s">
        <v>62</v>
      </c>
      <c r="H74">
        <v>3796</v>
      </c>
      <c r="I74">
        <v>10</v>
      </c>
      <c r="J74" t="str">
        <f t="shared" si="1"/>
        <v>Temp</v>
      </c>
    </row>
    <row r="75" spans="7:10" x14ac:dyDescent="0.3">
      <c r="G75" t="s">
        <v>62</v>
      </c>
      <c r="H75">
        <v>3390</v>
      </c>
      <c r="I75">
        <v>10</v>
      </c>
      <c r="J75" t="str">
        <f t="shared" si="1"/>
        <v>Temp</v>
      </c>
    </row>
    <row r="76" spans="7:10" x14ac:dyDescent="0.3">
      <c r="G76" t="s">
        <v>63</v>
      </c>
      <c r="H76">
        <v>5237</v>
      </c>
      <c r="I76">
        <v>14</v>
      </c>
      <c r="J76" t="str">
        <f t="shared" si="1"/>
        <v>Temp</v>
      </c>
    </row>
    <row r="77" spans="7:10" x14ac:dyDescent="0.3">
      <c r="G77" t="s">
        <v>64</v>
      </c>
      <c r="H77">
        <v>1390</v>
      </c>
      <c r="I77">
        <v>14</v>
      </c>
      <c r="J77" t="str">
        <f t="shared" si="1"/>
        <v>Temp</v>
      </c>
    </row>
    <row r="78" spans="7:10" x14ac:dyDescent="0.3">
      <c r="G78" t="s">
        <v>65</v>
      </c>
      <c r="H78">
        <v>11585</v>
      </c>
      <c r="I78">
        <v>15</v>
      </c>
      <c r="J78" t="str">
        <f t="shared" si="1"/>
        <v/>
      </c>
    </row>
    <row r="79" spans="7:10" x14ac:dyDescent="0.3">
      <c r="G79" t="s">
        <v>66</v>
      </c>
      <c r="H79">
        <v>5951</v>
      </c>
      <c r="I79">
        <v>8</v>
      </c>
      <c r="J79" t="str">
        <f t="shared" si="1"/>
        <v>Temp</v>
      </c>
    </row>
    <row r="80" spans="7:10" x14ac:dyDescent="0.3">
      <c r="G80" t="s">
        <v>67</v>
      </c>
      <c r="H80">
        <v>10034</v>
      </c>
      <c r="I80">
        <v>16</v>
      </c>
      <c r="J80" t="str">
        <f t="shared" si="1"/>
        <v/>
      </c>
    </row>
    <row r="81" spans="7:10" x14ac:dyDescent="0.3">
      <c r="G81" t="s">
        <v>68</v>
      </c>
      <c r="H81">
        <v>8044</v>
      </c>
      <c r="I81">
        <v>12</v>
      </c>
      <c r="J81" t="str">
        <f t="shared" si="1"/>
        <v/>
      </c>
    </row>
    <row r="82" spans="7:10" x14ac:dyDescent="0.3">
      <c r="G82" t="s">
        <v>69</v>
      </c>
      <c r="H82">
        <v>7910</v>
      </c>
      <c r="I82">
        <v>19</v>
      </c>
      <c r="J82" t="str">
        <f t="shared" si="1"/>
        <v/>
      </c>
    </row>
    <row r="83" spans="7:10" x14ac:dyDescent="0.3">
      <c r="G83" t="s">
        <v>70</v>
      </c>
      <c r="H83">
        <v>6815</v>
      </c>
      <c r="I83">
        <v>21</v>
      </c>
      <c r="J83" t="str">
        <f t="shared" si="1"/>
        <v/>
      </c>
    </row>
    <row r="84" spans="7:10" x14ac:dyDescent="0.3">
      <c r="G84" t="s">
        <v>71</v>
      </c>
      <c r="H84">
        <v>6200</v>
      </c>
      <c r="I84">
        <v>16</v>
      </c>
      <c r="J84" t="str">
        <f t="shared" si="1"/>
        <v/>
      </c>
    </row>
    <row r="85" spans="7:10" x14ac:dyDescent="0.3">
      <c r="G85" t="s">
        <v>72</v>
      </c>
      <c r="H85">
        <v>1656</v>
      </c>
      <c r="I85">
        <v>12</v>
      </c>
      <c r="J85" t="str">
        <f t="shared" si="1"/>
        <v>Temp</v>
      </c>
    </row>
    <row r="86" spans="7:10" x14ac:dyDescent="0.3">
      <c r="G86" t="s">
        <v>73</v>
      </c>
      <c r="H86">
        <v>1887</v>
      </c>
      <c r="I86">
        <v>11</v>
      </c>
      <c r="J86" t="str">
        <f t="shared" si="1"/>
        <v>Temp</v>
      </c>
    </row>
    <row r="87" spans="7:10" x14ac:dyDescent="0.3">
      <c r="G87" t="s">
        <v>74</v>
      </c>
      <c r="H87">
        <v>17050</v>
      </c>
      <c r="I87">
        <v>28</v>
      </c>
      <c r="J87" t="str">
        <f t="shared" si="1"/>
        <v/>
      </c>
    </row>
    <row r="88" spans="7:10" x14ac:dyDescent="0.3">
      <c r="G88" t="s">
        <v>75</v>
      </c>
      <c r="H88">
        <v>1069</v>
      </c>
      <c r="I88">
        <v>12</v>
      </c>
      <c r="J88" t="str">
        <f t="shared" si="1"/>
        <v>Temp</v>
      </c>
    </row>
    <row r="89" spans="7:10" x14ac:dyDescent="0.3">
      <c r="G89" t="s">
        <v>76</v>
      </c>
      <c r="H89">
        <v>18107</v>
      </c>
      <c r="I89">
        <v>24</v>
      </c>
      <c r="J89" t="str">
        <f t="shared" si="1"/>
        <v/>
      </c>
    </row>
    <row r="90" spans="7:10" x14ac:dyDescent="0.3">
      <c r="G90" t="s">
        <v>77</v>
      </c>
      <c r="H90">
        <v>12553</v>
      </c>
      <c r="I90">
        <v>19</v>
      </c>
      <c r="J90" t="str">
        <f t="shared" si="1"/>
        <v/>
      </c>
    </row>
    <row r="91" spans="7:10" x14ac:dyDescent="0.3">
      <c r="G91" t="s">
        <v>78</v>
      </c>
      <c r="H91">
        <v>6189</v>
      </c>
      <c r="I91">
        <v>20</v>
      </c>
      <c r="J91" t="str">
        <f t="shared" si="1"/>
        <v/>
      </c>
    </row>
    <row r="92" spans="7:10" x14ac:dyDescent="0.3">
      <c r="G92" t="s">
        <v>79</v>
      </c>
      <c r="H92">
        <v>3164</v>
      </c>
      <c r="I92">
        <v>8</v>
      </c>
      <c r="J92" t="str">
        <f t="shared" si="1"/>
        <v>Temp</v>
      </c>
    </row>
    <row r="93" spans="7:10" x14ac:dyDescent="0.3">
      <c r="G93" t="s">
        <v>80</v>
      </c>
      <c r="H93">
        <v>7105</v>
      </c>
      <c r="I93">
        <v>14</v>
      </c>
      <c r="J93" t="str">
        <f t="shared" si="1"/>
        <v/>
      </c>
    </row>
    <row r="94" spans="7:10" x14ac:dyDescent="0.3">
      <c r="G94" t="s">
        <v>81</v>
      </c>
      <c r="H94">
        <v>3845</v>
      </c>
      <c r="I94">
        <v>9</v>
      </c>
      <c r="J94" t="str">
        <f t="shared" si="1"/>
        <v>Temp</v>
      </c>
    </row>
    <row r="95" spans="7:10" x14ac:dyDescent="0.3">
      <c r="G95" t="s">
        <v>82</v>
      </c>
      <c r="H95">
        <v>8510</v>
      </c>
      <c r="I95">
        <v>14</v>
      </c>
      <c r="J95" t="str">
        <f t="shared" si="1"/>
        <v/>
      </c>
    </row>
    <row r="96" spans="7:10" x14ac:dyDescent="0.3">
      <c r="G96" t="s">
        <v>83</v>
      </c>
      <c r="H96">
        <v>10227</v>
      </c>
      <c r="I96">
        <v>11</v>
      </c>
      <c r="J96" t="str">
        <f t="shared" si="1"/>
        <v/>
      </c>
    </row>
    <row r="97" spans="7:10" x14ac:dyDescent="0.3">
      <c r="G97" t="s">
        <v>84</v>
      </c>
      <c r="H97">
        <v>5549</v>
      </c>
      <c r="I97">
        <v>10</v>
      </c>
      <c r="J97" t="str">
        <f t="shared" si="1"/>
        <v>Temp</v>
      </c>
    </row>
    <row r="98" spans="7:10" x14ac:dyDescent="0.3">
      <c r="G98" t="s">
        <v>85</v>
      </c>
      <c r="H98">
        <v>13322</v>
      </c>
      <c r="I98">
        <v>28</v>
      </c>
      <c r="J98" t="str">
        <f t="shared" si="1"/>
        <v/>
      </c>
    </row>
    <row r="99" spans="7:10" x14ac:dyDescent="0.3">
      <c r="G99" t="s">
        <v>86</v>
      </c>
      <c r="H99">
        <v>5201</v>
      </c>
      <c r="I99">
        <v>9</v>
      </c>
      <c r="J99" t="str">
        <f t="shared" si="1"/>
        <v>Temp</v>
      </c>
    </row>
    <row r="100" spans="7:10" x14ac:dyDescent="0.3">
      <c r="G100" t="s">
        <v>87</v>
      </c>
      <c r="H100">
        <v>1593</v>
      </c>
      <c r="I100">
        <v>9</v>
      </c>
      <c r="J100" t="str">
        <f t="shared" si="1"/>
        <v>Temp</v>
      </c>
    </row>
    <row r="101" spans="7:10" x14ac:dyDescent="0.3">
      <c r="G101" t="s">
        <v>88</v>
      </c>
      <c r="H101">
        <v>21903</v>
      </c>
      <c r="I101">
        <v>28</v>
      </c>
      <c r="J101" t="str">
        <f t="shared" si="1"/>
        <v/>
      </c>
    </row>
    <row r="102" spans="7:10" x14ac:dyDescent="0.3">
      <c r="G102" t="s">
        <v>88</v>
      </c>
      <c r="H102">
        <v>9218</v>
      </c>
      <c r="I102">
        <v>14</v>
      </c>
      <c r="J102" t="str">
        <f t="shared" si="1"/>
        <v/>
      </c>
    </row>
    <row r="103" spans="7:10" x14ac:dyDescent="0.3">
      <c r="G103" t="s">
        <v>89</v>
      </c>
      <c r="H103">
        <v>5050</v>
      </c>
      <c r="I103">
        <v>7</v>
      </c>
      <c r="J103" t="str">
        <f t="shared" si="1"/>
        <v>Temp</v>
      </c>
    </row>
    <row r="104" spans="7:10" x14ac:dyDescent="0.3">
      <c r="G104" t="s">
        <v>90</v>
      </c>
      <c r="H104">
        <v>6408</v>
      </c>
      <c r="I104">
        <v>20</v>
      </c>
      <c r="J104" t="str">
        <f t="shared" si="1"/>
        <v/>
      </c>
    </row>
    <row r="105" spans="7:10" x14ac:dyDescent="0.3">
      <c r="G105" t="s">
        <v>91</v>
      </c>
      <c r="H105">
        <v>8729</v>
      </c>
      <c r="I105">
        <v>15</v>
      </c>
      <c r="J105" t="str">
        <f t="shared" si="1"/>
        <v/>
      </c>
    </row>
    <row r="106" spans="7:10" x14ac:dyDescent="0.3">
      <c r="G106" t="s">
        <v>92</v>
      </c>
      <c r="H106">
        <v>11796</v>
      </c>
      <c r="I106">
        <v>20</v>
      </c>
      <c r="J106" t="str">
        <f t="shared" si="1"/>
        <v/>
      </c>
    </row>
    <row r="107" spans="7:10" x14ac:dyDescent="0.3">
      <c r="G107" t="s">
        <v>93</v>
      </c>
      <c r="H107">
        <v>9217</v>
      </c>
      <c r="I107">
        <v>14</v>
      </c>
      <c r="J107" t="str">
        <f t="shared" si="1"/>
        <v/>
      </c>
    </row>
    <row r="108" spans="7:10" x14ac:dyDescent="0.3">
      <c r="G108" t="s">
        <v>94</v>
      </c>
      <c r="H108">
        <v>12357</v>
      </c>
      <c r="I108">
        <v>16</v>
      </c>
      <c r="J108" t="str">
        <f t="shared" si="1"/>
        <v/>
      </c>
    </row>
    <row r="109" spans="7:10" x14ac:dyDescent="0.3">
      <c r="G109" t="s">
        <v>95</v>
      </c>
      <c r="H109">
        <v>8078</v>
      </c>
      <c r="I109">
        <v>15</v>
      </c>
      <c r="J109" t="str">
        <f t="shared" si="1"/>
        <v/>
      </c>
    </row>
    <row r="110" spans="7:10" x14ac:dyDescent="0.3">
      <c r="G110" t="s">
        <v>96</v>
      </c>
      <c r="H110">
        <v>2594</v>
      </c>
      <c r="I110">
        <v>13</v>
      </c>
      <c r="J110" t="str">
        <f t="shared" si="1"/>
        <v>Temp</v>
      </c>
    </row>
    <row r="111" spans="7:10" x14ac:dyDescent="0.3">
      <c r="G111" t="s">
        <v>97</v>
      </c>
      <c r="H111">
        <v>15257</v>
      </c>
      <c r="I111">
        <v>24</v>
      </c>
      <c r="J111" t="str">
        <f t="shared" si="1"/>
        <v/>
      </c>
    </row>
    <row r="112" spans="7:10" x14ac:dyDescent="0.3">
      <c r="G112" t="s">
        <v>98</v>
      </c>
      <c r="H112">
        <v>15801</v>
      </c>
      <c r="I112">
        <v>25</v>
      </c>
      <c r="J112" t="str">
        <f t="shared" si="1"/>
        <v/>
      </c>
    </row>
    <row r="113" spans="7:10" x14ac:dyDescent="0.3">
      <c r="G113" t="s">
        <v>99</v>
      </c>
      <c r="H113">
        <v>7214</v>
      </c>
      <c r="I113">
        <v>21</v>
      </c>
      <c r="J113" t="str">
        <f t="shared" si="1"/>
        <v/>
      </c>
    </row>
    <row r="114" spans="7:10" x14ac:dyDescent="0.3">
      <c r="G114" t="s">
        <v>100</v>
      </c>
      <c r="H114">
        <v>11551</v>
      </c>
      <c r="I114">
        <v>18</v>
      </c>
      <c r="J114" t="str">
        <f t="shared" si="1"/>
        <v/>
      </c>
    </row>
    <row r="115" spans="7:10" x14ac:dyDescent="0.3">
      <c r="G115" t="s">
        <v>101</v>
      </c>
      <c r="H115">
        <v>8641</v>
      </c>
      <c r="I115">
        <v>13</v>
      </c>
      <c r="J115" t="str">
        <f t="shared" si="1"/>
        <v/>
      </c>
    </row>
    <row r="116" spans="7:10" x14ac:dyDescent="0.3">
      <c r="G116" t="s">
        <v>102</v>
      </c>
      <c r="H116">
        <v>13970</v>
      </c>
      <c r="I116">
        <v>27</v>
      </c>
      <c r="J116" t="str">
        <f t="shared" si="1"/>
        <v/>
      </c>
    </row>
    <row r="117" spans="7:10" x14ac:dyDescent="0.3">
      <c r="G117" t="s">
        <v>103</v>
      </c>
      <c r="H117">
        <v>5157</v>
      </c>
      <c r="I117">
        <v>7</v>
      </c>
      <c r="J117" t="str">
        <f t="shared" si="1"/>
        <v>Temp</v>
      </c>
    </row>
    <row r="118" spans="7:10" x14ac:dyDescent="0.3">
      <c r="G118" t="s">
        <v>104</v>
      </c>
      <c r="H118">
        <v>10298</v>
      </c>
      <c r="I118">
        <v>18</v>
      </c>
      <c r="J118" t="str">
        <f t="shared" si="1"/>
        <v/>
      </c>
    </row>
    <row r="119" spans="7:10" x14ac:dyDescent="0.3">
      <c r="G119" t="s">
        <v>105</v>
      </c>
      <c r="H119">
        <v>2137</v>
      </c>
      <c r="I119">
        <v>13</v>
      </c>
      <c r="J119" t="str">
        <f t="shared" si="1"/>
        <v>Temp</v>
      </c>
    </row>
    <row r="120" spans="7:10" x14ac:dyDescent="0.3">
      <c r="G120" t="s">
        <v>106</v>
      </c>
      <c r="H120">
        <v>10236</v>
      </c>
      <c r="I120">
        <v>10</v>
      </c>
      <c r="J120" t="str">
        <f t="shared" si="1"/>
        <v/>
      </c>
    </row>
    <row r="121" spans="7:10" x14ac:dyDescent="0.3">
      <c r="G121" t="s">
        <v>107</v>
      </c>
      <c r="H121">
        <v>1091</v>
      </c>
      <c r="I121">
        <v>11</v>
      </c>
      <c r="J121" t="str">
        <f t="shared" si="1"/>
        <v>Temp</v>
      </c>
    </row>
    <row r="122" spans="7:10" x14ac:dyDescent="0.3">
      <c r="G122" t="s">
        <v>108</v>
      </c>
      <c r="H122">
        <v>23260</v>
      </c>
      <c r="I122">
        <v>17</v>
      </c>
      <c r="J122" t="str">
        <f t="shared" si="1"/>
        <v/>
      </c>
    </row>
    <row r="123" spans="7:10" x14ac:dyDescent="0.3">
      <c r="G123" t="s">
        <v>109</v>
      </c>
      <c r="H123">
        <v>3267</v>
      </c>
      <c r="I123">
        <v>9</v>
      </c>
      <c r="J123" t="str">
        <f t="shared" si="1"/>
        <v>Temp</v>
      </c>
    </row>
    <row r="124" spans="7:10" x14ac:dyDescent="0.3">
      <c r="G124" t="s">
        <v>110</v>
      </c>
      <c r="H124">
        <v>10572</v>
      </c>
      <c r="I124">
        <v>11</v>
      </c>
      <c r="J124" t="str">
        <f t="shared" si="1"/>
        <v/>
      </c>
    </row>
    <row r="125" spans="7:10" x14ac:dyDescent="0.3">
      <c r="G125" t="s">
        <v>111</v>
      </c>
      <c r="H125">
        <v>5533</v>
      </c>
      <c r="I125">
        <v>10</v>
      </c>
      <c r="J125" t="str">
        <f t="shared" si="1"/>
        <v>Temp</v>
      </c>
    </row>
    <row r="126" spans="7:10" x14ac:dyDescent="0.3">
      <c r="G126" t="s">
        <v>112</v>
      </c>
      <c r="H126">
        <v>7835</v>
      </c>
      <c r="I126">
        <v>15</v>
      </c>
      <c r="J126" t="str">
        <f t="shared" si="1"/>
        <v/>
      </c>
    </row>
    <row r="127" spans="7:10" x14ac:dyDescent="0.3">
      <c r="G127" t="s">
        <v>113</v>
      </c>
      <c r="H127">
        <v>16399</v>
      </c>
      <c r="I127">
        <v>20</v>
      </c>
      <c r="J127" t="str">
        <f t="shared" si="1"/>
        <v/>
      </c>
    </row>
    <row r="128" spans="7:10" x14ac:dyDescent="0.3">
      <c r="G128" t="s">
        <v>114</v>
      </c>
      <c r="H128">
        <v>16367</v>
      </c>
      <c r="I128">
        <v>24</v>
      </c>
      <c r="J128" t="str">
        <f t="shared" si="1"/>
        <v/>
      </c>
    </row>
    <row r="129" spans="7:10" x14ac:dyDescent="0.3">
      <c r="G129" t="s">
        <v>115</v>
      </c>
      <c r="H129">
        <v>12067</v>
      </c>
      <c r="I129">
        <v>26</v>
      </c>
      <c r="J129" t="str">
        <f t="shared" si="1"/>
        <v/>
      </c>
    </row>
    <row r="130" spans="7:10" x14ac:dyDescent="0.3">
      <c r="G130" t="s">
        <v>116</v>
      </c>
      <c r="H130">
        <v>9705</v>
      </c>
      <c r="I130">
        <v>20</v>
      </c>
      <c r="J130" t="str">
        <f t="shared" si="1"/>
        <v/>
      </c>
    </row>
    <row r="131" spans="7:10" x14ac:dyDescent="0.3">
      <c r="G131" t="s">
        <v>117</v>
      </c>
      <c r="H131">
        <v>5136</v>
      </c>
      <c r="I131">
        <v>9</v>
      </c>
      <c r="J131" t="str">
        <f t="shared" si="1"/>
        <v>Temp</v>
      </c>
    </row>
    <row r="132" spans="7:10" x14ac:dyDescent="0.3">
      <c r="G132" t="s">
        <v>118</v>
      </c>
      <c r="H132">
        <v>1237</v>
      </c>
      <c r="I132">
        <v>11</v>
      </c>
      <c r="J132" t="str">
        <f t="shared" si="1"/>
        <v>Temp</v>
      </c>
    </row>
    <row r="133" spans="7:10" x14ac:dyDescent="0.3">
      <c r="G133" t="s">
        <v>119</v>
      </c>
      <c r="H133">
        <v>7551</v>
      </c>
      <c r="I133">
        <v>19</v>
      </c>
      <c r="J133" t="str">
        <f t="shared" si="1"/>
        <v/>
      </c>
    </row>
    <row r="134" spans="7:10" x14ac:dyDescent="0.3">
      <c r="G134" t="s">
        <v>120</v>
      </c>
      <c r="H134">
        <v>5855</v>
      </c>
      <c r="I134">
        <v>12</v>
      </c>
      <c r="J134" t="str">
        <f t="shared" ref="J134:J197" si="2">IF(H134&lt;6000,"Temp","")</f>
        <v>Temp</v>
      </c>
    </row>
    <row r="135" spans="7:10" x14ac:dyDescent="0.3">
      <c r="G135" t="s">
        <v>121</v>
      </c>
      <c r="H135">
        <v>7860</v>
      </c>
      <c r="I135">
        <v>10</v>
      </c>
      <c r="J135" t="str">
        <f t="shared" si="2"/>
        <v/>
      </c>
    </row>
    <row r="136" spans="7:10" x14ac:dyDescent="0.3">
      <c r="G136" t="s">
        <v>122</v>
      </c>
      <c r="H136">
        <v>6200</v>
      </c>
      <c r="I136">
        <v>11</v>
      </c>
      <c r="J136" t="str">
        <f t="shared" si="2"/>
        <v/>
      </c>
    </row>
    <row r="137" spans="7:10" x14ac:dyDescent="0.3">
      <c r="G137" t="s">
        <v>123</v>
      </c>
      <c r="H137">
        <v>2477</v>
      </c>
      <c r="I137">
        <v>8</v>
      </c>
      <c r="J137" t="str">
        <f t="shared" si="2"/>
        <v>Temp</v>
      </c>
    </row>
    <row r="138" spans="7:10" x14ac:dyDescent="0.3">
      <c r="G138" t="s">
        <v>124</v>
      </c>
      <c r="H138">
        <v>2832</v>
      </c>
      <c r="I138">
        <v>9</v>
      </c>
      <c r="J138" t="str">
        <f t="shared" si="2"/>
        <v>Temp</v>
      </c>
    </row>
    <row r="139" spans="7:10" x14ac:dyDescent="0.3">
      <c r="G139" t="s">
        <v>125</v>
      </c>
      <c r="H139">
        <v>3549</v>
      </c>
      <c r="I139">
        <v>10</v>
      </c>
      <c r="J139" t="str">
        <f t="shared" si="2"/>
        <v>Temp</v>
      </c>
    </row>
    <row r="140" spans="7:10" x14ac:dyDescent="0.3">
      <c r="G140" t="s">
        <v>126</v>
      </c>
      <c r="H140">
        <v>6280</v>
      </c>
      <c r="I140">
        <v>18</v>
      </c>
      <c r="J140" t="str">
        <f t="shared" si="2"/>
        <v/>
      </c>
    </row>
    <row r="141" spans="7:10" x14ac:dyDescent="0.3">
      <c r="G141" t="s">
        <v>127</v>
      </c>
      <c r="H141">
        <v>12515</v>
      </c>
      <c r="I141">
        <v>26</v>
      </c>
      <c r="J141" t="str">
        <f t="shared" si="2"/>
        <v/>
      </c>
    </row>
    <row r="142" spans="7:10" x14ac:dyDescent="0.3">
      <c r="G142" t="s">
        <v>128</v>
      </c>
      <c r="H142">
        <v>7090</v>
      </c>
      <c r="I142">
        <v>14</v>
      </c>
      <c r="J142" t="str">
        <f t="shared" si="2"/>
        <v/>
      </c>
    </row>
    <row r="143" spans="7:10" x14ac:dyDescent="0.3">
      <c r="G143" t="s">
        <v>129</v>
      </c>
      <c r="H143">
        <v>1694</v>
      </c>
      <c r="I143">
        <v>9</v>
      </c>
      <c r="J143" t="str">
        <f t="shared" si="2"/>
        <v>Temp</v>
      </c>
    </row>
    <row r="144" spans="7:10" x14ac:dyDescent="0.3">
      <c r="G144" t="s">
        <v>130</v>
      </c>
      <c r="H144">
        <v>6571</v>
      </c>
      <c r="I144">
        <v>18</v>
      </c>
      <c r="J144" t="str">
        <f t="shared" si="2"/>
        <v/>
      </c>
    </row>
    <row r="145" spans="7:10" x14ac:dyDescent="0.3">
      <c r="G145" t="s">
        <v>130</v>
      </c>
      <c r="H145">
        <v>6549</v>
      </c>
      <c r="I145">
        <v>14</v>
      </c>
      <c r="J145" t="str">
        <f t="shared" si="2"/>
        <v/>
      </c>
    </row>
    <row r="146" spans="7:10" x14ac:dyDescent="0.3">
      <c r="G146" t="s">
        <v>131</v>
      </c>
      <c r="H146">
        <v>10096</v>
      </c>
      <c r="I146">
        <v>14</v>
      </c>
      <c r="J146" t="str">
        <f t="shared" si="2"/>
        <v/>
      </c>
    </row>
    <row r="147" spans="7:10" x14ac:dyDescent="0.3">
      <c r="G147" t="s">
        <v>132</v>
      </c>
      <c r="H147">
        <v>8818</v>
      </c>
      <c r="I147">
        <v>10</v>
      </c>
      <c r="J147" t="str">
        <f t="shared" si="2"/>
        <v/>
      </c>
    </row>
    <row r="148" spans="7:10" x14ac:dyDescent="0.3">
      <c r="G148" t="s">
        <v>133</v>
      </c>
      <c r="H148">
        <v>9234</v>
      </c>
      <c r="I148">
        <v>19</v>
      </c>
      <c r="J148" t="str">
        <f t="shared" si="2"/>
        <v/>
      </c>
    </row>
    <row r="149" spans="7:10" x14ac:dyDescent="0.3">
      <c r="G149" t="s">
        <v>134</v>
      </c>
      <c r="H149">
        <v>2579</v>
      </c>
      <c r="I149">
        <v>12</v>
      </c>
      <c r="J149" t="str">
        <f t="shared" si="2"/>
        <v>Temp</v>
      </c>
    </row>
    <row r="150" spans="7:10" x14ac:dyDescent="0.3">
      <c r="G150" t="s">
        <v>135</v>
      </c>
      <c r="H150">
        <v>10791</v>
      </c>
      <c r="I150">
        <v>17</v>
      </c>
      <c r="J150" t="str">
        <f t="shared" si="2"/>
        <v/>
      </c>
    </row>
    <row r="151" spans="7:10" x14ac:dyDescent="0.3">
      <c r="G151" t="s">
        <v>136</v>
      </c>
      <c r="H151">
        <v>10472</v>
      </c>
      <c r="I151">
        <v>15</v>
      </c>
      <c r="J151" t="str">
        <f t="shared" si="2"/>
        <v/>
      </c>
    </row>
    <row r="152" spans="7:10" x14ac:dyDescent="0.3">
      <c r="G152" t="s">
        <v>136</v>
      </c>
      <c r="H152">
        <v>9728</v>
      </c>
      <c r="I152">
        <v>19</v>
      </c>
      <c r="J152" t="str">
        <f t="shared" si="2"/>
        <v/>
      </c>
    </row>
    <row r="153" spans="7:10" x14ac:dyDescent="0.3">
      <c r="G153" t="s">
        <v>136</v>
      </c>
      <c r="H153">
        <v>6659</v>
      </c>
      <c r="I153">
        <v>16</v>
      </c>
      <c r="J153" t="str">
        <f t="shared" si="2"/>
        <v/>
      </c>
    </row>
    <row r="154" spans="7:10" x14ac:dyDescent="0.3">
      <c r="G154" t="s">
        <v>136</v>
      </c>
      <c r="H154">
        <v>3962</v>
      </c>
      <c r="I154">
        <v>10</v>
      </c>
      <c r="J154" t="str">
        <f t="shared" si="2"/>
        <v>Temp</v>
      </c>
    </row>
    <row r="155" spans="7:10" x14ac:dyDescent="0.3">
      <c r="G155" t="s">
        <v>137</v>
      </c>
      <c r="H155">
        <v>6794</v>
      </c>
      <c r="I155">
        <v>20</v>
      </c>
      <c r="J155" t="str">
        <f t="shared" si="2"/>
        <v/>
      </c>
    </row>
    <row r="156" spans="7:10" x14ac:dyDescent="0.3">
      <c r="G156" t="s">
        <v>138</v>
      </c>
      <c r="H156">
        <v>4766</v>
      </c>
      <c r="I156">
        <v>8</v>
      </c>
      <c r="J156" t="str">
        <f t="shared" si="2"/>
        <v>Temp</v>
      </c>
    </row>
    <row r="157" spans="7:10" x14ac:dyDescent="0.3">
      <c r="G157" t="s">
        <v>139</v>
      </c>
      <c r="H157">
        <v>6028</v>
      </c>
      <c r="I157">
        <v>10</v>
      </c>
      <c r="J157" t="str">
        <f t="shared" si="2"/>
        <v/>
      </c>
    </row>
    <row r="158" spans="7:10" x14ac:dyDescent="0.3">
      <c r="G158" t="s">
        <v>140</v>
      </c>
      <c r="H158">
        <v>2918</v>
      </c>
      <c r="I158">
        <v>11</v>
      </c>
      <c r="J158" t="str">
        <f t="shared" si="2"/>
        <v>Temp</v>
      </c>
    </row>
    <row r="159" spans="7:10" x14ac:dyDescent="0.3">
      <c r="G159" t="s">
        <v>141</v>
      </c>
      <c r="H159">
        <v>6456</v>
      </c>
      <c r="I159">
        <v>21</v>
      </c>
      <c r="J159" t="str">
        <f t="shared" si="2"/>
        <v/>
      </c>
    </row>
    <row r="160" spans="7:10" x14ac:dyDescent="0.3">
      <c r="G160" t="s">
        <v>142</v>
      </c>
      <c r="H160">
        <v>3466</v>
      </c>
      <c r="I160">
        <v>9</v>
      </c>
      <c r="J160" t="str">
        <f t="shared" si="2"/>
        <v>Temp</v>
      </c>
    </row>
    <row r="161" spans="7:10" x14ac:dyDescent="0.3">
      <c r="G161" t="s">
        <v>143</v>
      </c>
      <c r="H161">
        <v>3973</v>
      </c>
      <c r="I161">
        <v>13</v>
      </c>
      <c r="J161" t="str">
        <f t="shared" si="2"/>
        <v>Temp</v>
      </c>
    </row>
    <row r="162" spans="7:10" x14ac:dyDescent="0.3">
      <c r="G162" t="s">
        <v>144</v>
      </c>
      <c r="H162">
        <v>1830</v>
      </c>
      <c r="I162">
        <v>10</v>
      </c>
      <c r="J162" t="str">
        <f t="shared" si="2"/>
        <v>Temp</v>
      </c>
    </row>
    <row r="163" spans="7:10" x14ac:dyDescent="0.3">
      <c r="G163" t="s">
        <v>145</v>
      </c>
      <c r="H163">
        <v>1825</v>
      </c>
      <c r="I163">
        <v>10</v>
      </c>
      <c r="J163" t="str">
        <f t="shared" si="2"/>
        <v>Temp</v>
      </c>
    </row>
    <row r="164" spans="7:10" x14ac:dyDescent="0.3">
      <c r="G164" t="s">
        <v>146</v>
      </c>
      <c r="H164">
        <v>11614</v>
      </c>
      <c r="I164">
        <v>22</v>
      </c>
      <c r="J164" t="str">
        <f t="shared" si="2"/>
        <v/>
      </c>
    </row>
    <row r="165" spans="7:10" x14ac:dyDescent="0.3">
      <c r="G165" t="s">
        <v>147</v>
      </c>
      <c r="H165">
        <v>13142</v>
      </c>
      <c r="I165">
        <v>16</v>
      </c>
      <c r="J165" t="str">
        <f t="shared" si="2"/>
        <v/>
      </c>
    </row>
    <row r="166" spans="7:10" x14ac:dyDescent="0.3">
      <c r="G166" t="s">
        <v>148</v>
      </c>
      <c r="H166">
        <v>14144</v>
      </c>
      <c r="I166">
        <v>30</v>
      </c>
      <c r="J166" t="str">
        <f t="shared" si="2"/>
        <v/>
      </c>
    </row>
    <row r="167" spans="7:10" x14ac:dyDescent="0.3">
      <c r="G167" t="s">
        <v>149</v>
      </c>
      <c r="H167">
        <v>10756</v>
      </c>
      <c r="I167">
        <v>11</v>
      </c>
      <c r="J167" t="str">
        <f t="shared" si="2"/>
        <v/>
      </c>
    </row>
    <row r="168" spans="7:10" x14ac:dyDescent="0.3">
      <c r="G168" t="s">
        <v>150</v>
      </c>
      <c r="H168">
        <v>6369</v>
      </c>
      <c r="I168">
        <v>12</v>
      </c>
      <c r="J168" t="str">
        <f t="shared" si="2"/>
        <v/>
      </c>
    </row>
    <row r="169" spans="7:10" x14ac:dyDescent="0.3">
      <c r="G169" t="s">
        <v>151</v>
      </c>
      <c r="H169">
        <v>27261</v>
      </c>
      <c r="I169">
        <v>39</v>
      </c>
      <c r="J169" t="str">
        <f t="shared" si="2"/>
        <v/>
      </c>
    </row>
    <row r="170" spans="7:10" x14ac:dyDescent="0.3">
      <c r="G170" t="s">
        <v>151</v>
      </c>
      <c r="H170">
        <v>22743</v>
      </c>
      <c r="I170">
        <v>21</v>
      </c>
      <c r="J170" t="str">
        <f t="shared" si="2"/>
        <v/>
      </c>
    </row>
    <row r="171" spans="7:10" x14ac:dyDescent="0.3">
      <c r="G171" t="s">
        <v>152</v>
      </c>
      <c r="H171">
        <v>7710</v>
      </c>
      <c r="I171">
        <v>16</v>
      </c>
      <c r="J171" t="str">
        <f t="shared" si="2"/>
        <v/>
      </c>
    </row>
    <row r="172" spans="7:10" x14ac:dyDescent="0.3">
      <c r="G172" t="s">
        <v>153</v>
      </c>
      <c r="H172">
        <v>1601</v>
      </c>
      <c r="I172">
        <v>7</v>
      </c>
      <c r="J172" t="str">
        <f t="shared" si="2"/>
        <v>Temp</v>
      </c>
    </row>
    <row r="173" spans="7:10" x14ac:dyDescent="0.3">
      <c r="G173" t="s">
        <v>154</v>
      </c>
      <c r="H173">
        <v>14475</v>
      </c>
      <c r="I173">
        <v>27</v>
      </c>
      <c r="J173" t="str">
        <f t="shared" si="2"/>
        <v/>
      </c>
    </row>
    <row r="174" spans="7:10" x14ac:dyDescent="0.3">
      <c r="G174" t="s">
        <v>154</v>
      </c>
      <c r="H174">
        <v>1143</v>
      </c>
      <c r="I174">
        <v>8</v>
      </c>
      <c r="J174" t="str">
        <f t="shared" si="2"/>
        <v>Temp</v>
      </c>
    </row>
    <row r="175" spans="7:10" x14ac:dyDescent="0.3">
      <c r="G175" t="s">
        <v>155</v>
      </c>
      <c r="H175">
        <v>7309</v>
      </c>
      <c r="I175">
        <v>13</v>
      </c>
      <c r="J175" t="str">
        <f t="shared" si="2"/>
        <v/>
      </c>
    </row>
    <row r="176" spans="7:10" x14ac:dyDescent="0.3">
      <c r="G176" t="s">
        <v>156</v>
      </c>
      <c r="H176">
        <v>4290</v>
      </c>
      <c r="I176">
        <v>7</v>
      </c>
      <c r="J176" t="str">
        <f t="shared" si="2"/>
        <v>Temp</v>
      </c>
    </row>
    <row r="177" spans="7:10" x14ac:dyDescent="0.3">
      <c r="G177" t="s">
        <v>157</v>
      </c>
      <c r="H177">
        <v>2641</v>
      </c>
      <c r="I177">
        <v>11</v>
      </c>
      <c r="J177" t="str">
        <f t="shared" si="2"/>
        <v>Temp</v>
      </c>
    </row>
    <row r="178" spans="7:10" x14ac:dyDescent="0.3">
      <c r="G178" t="s">
        <v>158</v>
      </c>
      <c r="H178">
        <v>6243</v>
      </c>
      <c r="I178">
        <v>12</v>
      </c>
      <c r="J178" t="str">
        <f t="shared" si="2"/>
        <v/>
      </c>
    </row>
    <row r="179" spans="7:10" x14ac:dyDescent="0.3">
      <c r="G179" t="s">
        <v>159</v>
      </c>
      <c r="H179">
        <v>4051</v>
      </c>
      <c r="I179">
        <v>10</v>
      </c>
      <c r="J179" t="str">
        <f t="shared" si="2"/>
        <v>Temp</v>
      </c>
    </row>
    <row r="180" spans="7:10" x14ac:dyDescent="0.3">
      <c r="G180" t="s">
        <v>160</v>
      </c>
      <c r="H180">
        <v>25994</v>
      </c>
      <c r="I180">
        <v>22</v>
      </c>
      <c r="J180" t="str">
        <f t="shared" si="2"/>
        <v/>
      </c>
    </row>
    <row r="181" spans="7:10" x14ac:dyDescent="0.3">
      <c r="G181" t="s">
        <v>160</v>
      </c>
      <c r="H181">
        <v>25510</v>
      </c>
      <c r="I181">
        <v>39</v>
      </c>
      <c r="J181" t="str">
        <f t="shared" si="2"/>
        <v/>
      </c>
    </row>
    <row r="182" spans="7:10" x14ac:dyDescent="0.3">
      <c r="G182" t="s">
        <v>160</v>
      </c>
      <c r="H182">
        <v>23693</v>
      </c>
      <c r="I182">
        <v>25</v>
      </c>
      <c r="J182" t="str">
        <f t="shared" si="2"/>
        <v/>
      </c>
    </row>
    <row r="183" spans="7:10" x14ac:dyDescent="0.3">
      <c r="G183" t="s">
        <v>160</v>
      </c>
      <c r="H183">
        <v>5188</v>
      </c>
      <c r="I183">
        <v>14</v>
      </c>
      <c r="J183" t="str">
        <f t="shared" si="2"/>
        <v>Temp</v>
      </c>
    </row>
    <row r="184" spans="7:10" x14ac:dyDescent="0.3">
      <c r="G184" t="s">
        <v>160</v>
      </c>
      <c r="H184">
        <v>4990</v>
      </c>
      <c r="I184">
        <v>9</v>
      </c>
      <c r="J184" t="str">
        <f t="shared" si="2"/>
        <v>Temp</v>
      </c>
    </row>
    <row r="185" spans="7:10" x14ac:dyDescent="0.3">
      <c r="G185" t="s">
        <v>160</v>
      </c>
      <c r="H185">
        <v>2300</v>
      </c>
      <c r="I185">
        <v>12</v>
      </c>
      <c r="J185" t="str">
        <f t="shared" si="2"/>
        <v>Temp</v>
      </c>
    </row>
    <row r="186" spans="7:10" x14ac:dyDescent="0.3">
      <c r="G186" t="s">
        <v>161</v>
      </c>
      <c r="H186">
        <v>1964</v>
      </c>
      <c r="I186">
        <v>9</v>
      </c>
      <c r="J186" t="str">
        <f t="shared" si="2"/>
        <v>Temp</v>
      </c>
    </row>
    <row r="187" spans="7:10" x14ac:dyDescent="0.3">
      <c r="G187" t="s">
        <v>162</v>
      </c>
      <c r="H187">
        <v>9520</v>
      </c>
      <c r="I187">
        <v>13</v>
      </c>
      <c r="J187" t="str">
        <f t="shared" si="2"/>
        <v/>
      </c>
    </row>
    <row r="188" spans="7:10" x14ac:dyDescent="0.3">
      <c r="G188" t="s">
        <v>163</v>
      </c>
      <c r="H188">
        <v>9937</v>
      </c>
      <c r="I188">
        <v>18</v>
      </c>
      <c r="J188" t="str">
        <f t="shared" si="2"/>
        <v/>
      </c>
    </row>
    <row r="189" spans="7:10" x14ac:dyDescent="0.3">
      <c r="G189" t="s">
        <v>164</v>
      </c>
      <c r="H189">
        <v>15638</v>
      </c>
      <c r="I189">
        <v>22</v>
      </c>
      <c r="J189" t="str">
        <f t="shared" si="2"/>
        <v/>
      </c>
    </row>
    <row r="190" spans="7:10" x14ac:dyDescent="0.3">
      <c r="G190" t="s">
        <v>164</v>
      </c>
      <c r="H190">
        <v>3818</v>
      </c>
      <c r="I190">
        <v>14</v>
      </c>
      <c r="J190" t="str">
        <f t="shared" si="2"/>
        <v>Temp</v>
      </c>
    </row>
    <row r="191" spans="7:10" x14ac:dyDescent="0.3">
      <c r="G191" t="s">
        <v>165</v>
      </c>
      <c r="H191">
        <v>3180</v>
      </c>
      <c r="I191">
        <v>10</v>
      </c>
      <c r="J191" t="str">
        <f t="shared" si="2"/>
        <v>Temp</v>
      </c>
    </row>
    <row r="192" spans="7:10" x14ac:dyDescent="0.3">
      <c r="G192" t="s">
        <v>166</v>
      </c>
      <c r="H192">
        <v>15464</v>
      </c>
      <c r="I192">
        <v>20</v>
      </c>
      <c r="J192" t="str">
        <f t="shared" si="2"/>
        <v/>
      </c>
    </row>
    <row r="193" spans="7:10" x14ac:dyDescent="0.3">
      <c r="G193" t="s">
        <v>167</v>
      </c>
      <c r="H193">
        <v>2766</v>
      </c>
      <c r="I193">
        <v>9</v>
      </c>
      <c r="J193" t="str">
        <f t="shared" si="2"/>
        <v>Temp</v>
      </c>
    </row>
    <row r="194" spans="7:10" x14ac:dyDescent="0.3">
      <c r="G194" t="s">
        <v>167</v>
      </c>
      <c r="H194">
        <v>2030</v>
      </c>
      <c r="I194">
        <v>10</v>
      </c>
      <c r="J194" t="str">
        <f t="shared" si="2"/>
        <v>Temp</v>
      </c>
    </row>
    <row r="195" spans="7:10" x14ac:dyDescent="0.3">
      <c r="G195" t="s">
        <v>168</v>
      </c>
      <c r="H195">
        <v>11973</v>
      </c>
      <c r="I195">
        <v>14</v>
      </c>
      <c r="J195" t="str">
        <f t="shared" si="2"/>
        <v/>
      </c>
    </row>
    <row r="196" spans="7:10" x14ac:dyDescent="0.3">
      <c r="G196" t="s">
        <v>169</v>
      </c>
      <c r="H196">
        <v>10478</v>
      </c>
      <c r="I196">
        <v>12</v>
      </c>
      <c r="J196" t="str">
        <f t="shared" si="2"/>
        <v/>
      </c>
    </row>
    <row r="197" spans="7:10" x14ac:dyDescent="0.3">
      <c r="G197" t="s">
        <v>170</v>
      </c>
      <c r="H197">
        <v>13113</v>
      </c>
      <c r="I197">
        <v>22</v>
      </c>
      <c r="J197" t="str">
        <f t="shared" si="2"/>
        <v/>
      </c>
    </row>
    <row r="198" spans="7:10" x14ac:dyDescent="0.3">
      <c r="G198" t="s">
        <v>170</v>
      </c>
      <c r="H198">
        <v>6638</v>
      </c>
      <c r="I198">
        <v>17</v>
      </c>
      <c r="J198" t="str">
        <f t="shared" ref="J198:J258" si="3">IF(H198&lt;6000,"Temp","")</f>
        <v/>
      </c>
    </row>
    <row r="199" spans="7:10" x14ac:dyDescent="0.3">
      <c r="G199" t="s">
        <v>170</v>
      </c>
      <c r="H199">
        <v>6222</v>
      </c>
      <c r="I199">
        <v>22</v>
      </c>
      <c r="J199" t="str">
        <f t="shared" si="3"/>
        <v/>
      </c>
    </row>
    <row r="200" spans="7:10" x14ac:dyDescent="0.3">
      <c r="G200" t="s">
        <v>171</v>
      </c>
      <c r="H200">
        <v>2509</v>
      </c>
      <c r="I200">
        <v>9</v>
      </c>
      <c r="J200" t="str">
        <f t="shared" si="3"/>
        <v>Temp</v>
      </c>
    </row>
    <row r="201" spans="7:10" x14ac:dyDescent="0.3">
      <c r="G201" t="s">
        <v>172</v>
      </c>
      <c r="H201">
        <v>2071</v>
      </c>
      <c r="I201">
        <v>14</v>
      </c>
      <c r="J201" t="str">
        <f t="shared" si="3"/>
        <v>Temp</v>
      </c>
    </row>
    <row r="202" spans="7:10" x14ac:dyDescent="0.3">
      <c r="G202" t="s">
        <v>173</v>
      </c>
      <c r="H202">
        <v>7950</v>
      </c>
      <c r="I202">
        <v>13</v>
      </c>
      <c r="J202" t="str">
        <f t="shared" si="3"/>
        <v/>
      </c>
    </row>
    <row r="203" spans="7:10" x14ac:dyDescent="0.3">
      <c r="G203" t="s">
        <v>173</v>
      </c>
      <c r="H203">
        <v>1794</v>
      </c>
      <c r="I203">
        <v>14</v>
      </c>
      <c r="J203" t="str">
        <f t="shared" si="3"/>
        <v>Temp</v>
      </c>
    </row>
    <row r="204" spans="7:10" x14ac:dyDescent="0.3">
      <c r="G204" t="s">
        <v>174</v>
      </c>
      <c r="H204">
        <v>34273</v>
      </c>
      <c r="I204">
        <v>33</v>
      </c>
      <c r="J204" t="str">
        <f t="shared" si="3"/>
        <v/>
      </c>
    </row>
    <row r="205" spans="7:10" x14ac:dyDescent="0.3">
      <c r="G205" t="s">
        <v>175</v>
      </c>
      <c r="H205">
        <v>8630</v>
      </c>
      <c r="I205">
        <v>13</v>
      </c>
      <c r="J205" t="str">
        <f t="shared" si="3"/>
        <v/>
      </c>
    </row>
    <row r="206" spans="7:10" x14ac:dyDescent="0.3">
      <c r="G206" t="s">
        <v>176</v>
      </c>
      <c r="H206">
        <v>16385</v>
      </c>
      <c r="I206">
        <v>21</v>
      </c>
      <c r="J206" t="str">
        <f t="shared" si="3"/>
        <v/>
      </c>
    </row>
    <row r="207" spans="7:10" x14ac:dyDescent="0.3">
      <c r="G207" t="s">
        <v>177</v>
      </c>
      <c r="H207">
        <v>8346</v>
      </c>
      <c r="I207">
        <v>11</v>
      </c>
      <c r="J207" t="str">
        <f t="shared" si="3"/>
        <v/>
      </c>
    </row>
    <row r="208" spans="7:10" x14ac:dyDescent="0.3">
      <c r="G208" t="s">
        <v>178</v>
      </c>
      <c r="H208">
        <v>14446</v>
      </c>
      <c r="I208">
        <v>28</v>
      </c>
      <c r="J208" t="str">
        <f t="shared" si="3"/>
        <v/>
      </c>
    </row>
    <row r="209" spans="7:10" x14ac:dyDescent="0.3">
      <c r="G209" t="s">
        <v>179</v>
      </c>
      <c r="H209">
        <v>3191</v>
      </c>
      <c r="I209">
        <v>10</v>
      </c>
      <c r="J209" t="str">
        <f t="shared" si="3"/>
        <v>Temp</v>
      </c>
    </row>
    <row r="210" spans="7:10" x14ac:dyDescent="0.3">
      <c r="G210" t="s">
        <v>180</v>
      </c>
      <c r="H210">
        <v>5307</v>
      </c>
      <c r="I210">
        <v>9</v>
      </c>
      <c r="J210" t="str">
        <f t="shared" si="3"/>
        <v>Temp</v>
      </c>
    </row>
    <row r="211" spans="7:10" x14ac:dyDescent="0.3">
      <c r="G211" t="s">
        <v>181</v>
      </c>
      <c r="H211">
        <v>8658</v>
      </c>
      <c r="I211">
        <v>19</v>
      </c>
      <c r="J211" t="str">
        <f t="shared" si="3"/>
        <v/>
      </c>
    </row>
    <row r="212" spans="7:10" x14ac:dyDescent="0.3">
      <c r="G212" t="s">
        <v>182</v>
      </c>
      <c r="H212">
        <v>2730</v>
      </c>
      <c r="I212">
        <v>10</v>
      </c>
      <c r="J212" t="str">
        <f t="shared" si="3"/>
        <v>Temp</v>
      </c>
    </row>
    <row r="213" spans="7:10" x14ac:dyDescent="0.3">
      <c r="G213" t="s">
        <v>183</v>
      </c>
      <c r="H213">
        <v>10733</v>
      </c>
      <c r="I213">
        <v>10</v>
      </c>
      <c r="J213" t="str">
        <f t="shared" si="3"/>
        <v/>
      </c>
    </row>
    <row r="214" spans="7:10" x14ac:dyDescent="0.3">
      <c r="G214" t="s">
        <v>184</v>
      </c>
      <c r="H214">
        <v>9922</v>
      </c>
      <c r="I214">
        <v>18</v>
      </c>
      <c r="J214" t="str">
        <f t="shared" si="3"/>
        <v/>
      </c>
    </row>
    <row r="215" spans="7:10" x14ac:dyDescent="0.3">
      <c r="G215" t="s">
        <v>185</v>
      </c>
      <c r="H215">
        <v>12589</v>
      </c>
      <c r="I215">
        <v>24</v>
      </c>
      <c r="J215" t="str">
        <f t="shared" si="3"/>
        <v/>
      </c>
    </row>
    <row r="216" spans="7:10" x14ac:dyDescent="0.3">
      <c r="G216" t="s">
        <v>186</v>
      </c>
      <c r="H216">
        <v>2733</v>
      </c>
      <c r="I216">
        <v>12</v>
      </c>
      <c r="J216" t="str">
        <f t="shared" si="3"/>
        <v>Temp</v>
      </c>
    </row>
    <row r="217" spans="7:10" x14ac:dyDescent="0.3">
      <c r="G217" t="s">
        <v>187</v>
      </c>
      <c r="H217">
        <v>6041</v>
      </c>
      <c r="I217">
        <v>20</v>
      </c>
      <c r="J217" t="str">
        <f t="shared" si="3"/>
        <v/>
      </c>
    </row>
    <row r="218" spans="7:10" x14ac:dyDescent="0.3">
      <c r="G218" t="s">
        <v>188</v>
      </c>
      <c r="H218">
        <v>21194</v>
      </c>
      <c r="I218">
        <v>16</v>
      </c>
      <c r="J218" t="str">
        <f t="shared" si="3"/>
        <v/>
      </c>
    </row>
    <row r="219" spans="7:10" x14ac:dyDescent="0.3">
      <c r="G219" t="s">
        <v>189</v>
      </c>
      <c r="H219">
        <v>1732</v>
      </c>
      <c r="I219">
        <v>10</v>
      </c>
      <c r="J219" t="str">
        <f t="shared" si="3"/>
        <v>Temp</v>
      </c>
    </row>
    <row r="220" spans="7:10" x14ac:dyDescent="0.3">
      <c r="G220" t="s">
        <v>190</v>
      </c>
      <c r="H220">
        <v>12274</v>
      </c>
      <c r="I220">
        <v>17</v>
      </c>
      <c r="J220" t="str">
        <f t="shared" si="3"/>
        <v/>
      </c>
    </row>
    <row r="221" spans="7:10" x14ac:dyDescent="0.3">
      <c r="G221" t="s">
        <v>191</v>
      </c>
      <c r="H221">
        <v>3111</v>
      </c>
      <c r="I221">
        <v>13</v>
      </c>
      <c r="J221" t="str">
        <f t="shared" si="3"/>
        <v>Temp</v>
      </c>
    </row>
    <row r="222" spans="7:10" x14ac:dyDescent="0.3">
      <c r="G222" t="s">
        <v>192</v>
      </c>
      <c r="H222">
        <v>2540</v>
      </c>
      <c r="I222">
        <v>13</v>
      </c>
      <c r="J222" t="str">
        <f t="shared" si="3"/>
        <v>Temp</v>
      </c>
    </row>
    <row r="223" spans="7:10" x14ac:dyDescent="0.3">
      <c r="G223" t="s">
        <v>193</v>
      </c>
      <c r="H223">
        <v>5649</v>
      </c>
      <c r="I223">
        <v>14</v>
      </c>
      <c r="J223" t="str">
        <f t="shared" si="3"/>
        <v>Temp</v>
      </c>
    </row>
    <row r="224" spans="7:10" x14ac:dyDescent="0.3">
      <c r="G224" t="s">
        <v>194</v>
      </c>
      <c r="H224">
        <v>1040</v>
      </c>
      <c r="I224">
        <v>10</v>
      </c>
      <c r="J224" t="str">
        <f t="shared" si="3"/>
        <v>Temp</v>
      </c>
    </row>
    <row r="225" spans="7:10" x14ac:dyDescent="0.3">
      <c r="G225" t="s">
        <v>195</v>
      </c>
      <c r="H225">
        <v>10129</v>
      </c>
      <c r="I225">
        <v>14</v>
      </c>
      <c r="J225" t="str">
        <f t="shared" si="3"/>
        <v/>
      </c>
    </row>
    <row r="226" spans="7:10" x14ac:dyDescent="0.3">
      <c r="G226" t="s">
        <v>195</v>
      </c>
      <c r="H226">
        <v>9951</v>
      </c>
      <c r="I226">
        <v>19</v>
      </c>
      <c r="J226" t="str">
        <f t="shared" si="3"/>
        <v/>
      </c>
    </row>
    <row r="227" spans="7:10" x14ac:dyDescent="0.3">
      <c r="G227" t="s">
        <v>195</v>
      </c>
      <c r="H227">
        <v>9494</v>
      </c>
      <c r="I227">
        <v>11</v>
      </c>
      <c r="J227" t="str">
        <f t="shared" si="3"/>
        <v/>
      </c>
    </row>
    <row r="228" spans="7:10" x14ac:dyDescent="0.3">
      <c r="G228" t="s">
        <v>196</v>
      </c>
      <c r="H228">
        <v>6022</v>
      </c>
      <c r="I228">
        <v>17</v>
      </c>
      <c r="J228" t="str">
        <f t="shared" si="3"/>
        <v/>
      </c>
    </row>
    <row r="229" spans="7:10" x14ac:dyDescent="0.3">
      <c r="G229" t="s">
        <v>197</v>
      </c>
      <c r="H229">
        <v>1366</v>
      </c>
      <c r="I229">
        <v>14</v>
      </c>
      <c r="J229" t="str">
        <f t="shared" si="3"/>
        <v>Temp</v>
      </c>
    </row>
    <row r="230" spans="7:10" x14ac:dyDescent="0.3">
      <c r="G230" t="s">
        <v>198</v>
      </c>
      <c r="H230">
        <v>8992</v>
      </c>
      <c r="I230">
        <v>12</v>
      </c>
      <c r="J230" t="str">
        <f t="shared" si="3"/>
        <v/>
      </c>
    </row>
    <row r="231" spans="7:10" x14ac:dyDescent="0.3">
      <c r="G231" t="s">
        <v>199</v>
      </c>
      <c r="H231">
        <v>3780</v>
      </c>
      <c r="I231">
        <v>13</v>
      </c>
      <c r="J231" t="str">
        <f t="shared" si="3"/>
        <v>Temp</v>
      </c>
    </row>
    <row r="232" spans="7:10" x14ac:dyDescent="0.3">
      <c r="G232" t="s">
        <v>200</v>
      </c>
      <c r="H232">
        <v>9582</v>
      </c>
      <c r="I232">
        <v>12</v>
      </c>
      <c r="J232" t="str">
        <f t="shared" si="3"/>
        <v/>
      </c>
    </row>
    <row r="233" spans="7:10" x14ac:dyDescent="0.3">
      <c r="G233" t="s">
        <v>201</v>
      </c>
      <c r="H233">
        <v>1851</v>
      </c>
      <c r="I233">
        <v>7</v>
      </c>
      <c r="J233" t="str">
        <f t="shared" si="3"/>
        <v>Temp</v>
      </c>
    </row>
    <row r="234" spans="7:10" x14ac:dyDescent="0.3">
      <c r="G234" t="s">
        <v>202</v>
      </c>
      <c r="H234">
        <v>8440</v>
      </c>
      <c r="I234">
        <v>21</v>
      </c>
      <c r="J234" t="str">
        <f t="shared" si="3"/>
        <v/>
      </c>
    </row>
    <row r="235" spans="7:10" x14ac:dyDescent="0.3">
      <c r="G235" t="s">
        <v>203</v>
      </c>
      <c r="H235">
        <v>8347</v>
      </c>
      <c r="I235">
        <v>14</v>
      </c>
      <c r="J235" t="str">
        <f t="shared" si="3"/>
        <v/>
      </c>
    </row>
    <row r="236" spans="7:10" x14ac:dyDescent="0.3">
      <c r="G236" t="s">
        <v>204</v>
      </c>
      <c r="H236">
        <v>9800</v>
      </c>
      <c r="I236">
        <v>13</v>
      </c>
      <c r="J236" t="str">
        <f t="shared" si="3"/>
        <v/>
      </c>
    </row>
    <row r="237" spans="7:10" x14ac:dyDescent="0.3">
      <c r="G237" t="s">
        <v>205</v>
      </c>
      <c r="H237">
        <v>1338</v>
      </c>
      <c r="I237">
        <v>11</v>
      </c>
      <c r="J237" t="str">
        <f t="shared" si="3"/>
        <v>Temp</v>
      </c>
    </row>
    <row r="238" spans="7:10" x14ac:dyDescent="0.3">
      <c r="G238" t="s">
        <v>206</v>
      </c>
      <c r="H238">
        <v>8180</v>
      </c>
      <c r="I238">
        <v>15</v>
      </c>
      <c r="J238" t="str">
        <f t="shared" si="3"/>
        <v/>
      </c>
    </row>
    <row r="239" spans="7:10" x14ac:dyDescent="0.3">
      <c r="G239" t="s">
        <v>207</v>
      </c>
      <c r="H239">
        <v>6071</v>
      </c>
      <c r="I239">
        <v>14</v>
      </c>
      <c r="J239" t="str">
        <f t="shared" si="3"/>
        <v/>
      </c>
    </row>
    <row r="240" spans="7:10" x14ac:dyDescent="0.3">
      <c r="G240" t="s">
        <v>207</v>
      </c>
      <c r="H240">
        <v>1103</v>
      </c>
      <c r="I240">
        <v>9</v>
      </c>
      <c r="J240" t="str">
        <f t="shared" si="3"/>
        <v>Temp</v>
      </c>
    </row>
    <row r="241" spans="7:10" x14ac:dyDescent="0.3">
      <c r="G241" t="s">
        <v>208</v>
      </c>
      <c r="H241">
        <v>7478</v>
      </c>
      <c r="I241">
        <v>18</v>
      </c>
      <c r="J241" t="str">
        <f t="shared" si="3"/>
        <v/>
      </c>
    </row>
    <row r="242" spans="7:10" x14ac:dyDescent="0.3">
      <c r="G242" t="s">
        <v>209</v>
      </c>
      <c r="H242">
        <v>4206</v>
      </c>
      <c r="I242">
        <v>8</v>
      </c>
      <c r="J242" t="str">
        <f t="shared" si="3"/>
        <v>Temp</v>
      </c>
    </row>
    <row r="243" spans="7:10" x14ac:dyDescent="0.3">
      <c r="G243" t="s">
        <v>210</v>
      </c>
      <c r="H243">
        <v>6530</v>
      </c>
      <c r="I243">
        <v>21</v>
      </c>
      <c r="J243" t="str">
        <f t="shared" si="3"/>
        <v/>
      </c>
    </row>
    <row r="244" spans="7:10" x14ac:dyDescent="0.3">
      <c r="G244" t="s">
        <v>211</v>
      </c>
      <c r="H244">
        <v>10604</v>
      </c>
      <c r="I244">
        <v>10</v>
      </c>
      <c r="J244" t="str">
        <f t="shared" si="3"/>
        <v/>
      </c>
    </row>
    <row r="245" spans="7:10" x14ac:dyDescent="0.3">
      <c r="G245" t="s">
        <v>212</v>
      </c>
      <c r="H245">
        <v>4599</v>
      </c>
      <c r="I245">
        <v>8</v>
      </c>
      <c r="J245" t="str">
        <f t="shared" si="3"/>
        <v>Temp</v>
      </c>
    </row>
    <row r="246" spans="7:10" x14ac:dyDescent="0.3">
      <c r="G246" t="s">
        <v>213</v>
      </c>
      <c r="H246">
        <v>9262</v>
      </c>
      <c r="I246">
        <v>22</v>
      </c>
      <c r="J246" t="str">
        <f t="shared" si="3"/>
        <v/>
      </c>
    </row>
    <row r="247" spans="7:10" x14ac:dyDescent="0.3">
      <c r="G247" t="s">
        <v>214</v>
      </c>
      <c r="H247">
        <v>5322</v>
      </c>
      <c r="I247">
        <v>14</v>
      </c>
      <c r="J247" t="str">
        <f t="shared" si="3"/>
        <v>Temp</v>
      </c>
    </row>
    <row r="248" spans="7:10" x14ac:dyDescent="0.3">
      <c r="G248" t="s">
        <v>215</v>
      </c>
      <c r="H248">
        <v>29445</v>
      </c>
      <c r="I248">
        <v>24</v>
      </c>
      <c r="J248" t="str">
        <f t="shared" si="3"/>
        <v/>
      </c>
    </row>
    <row r="249" spans="7:10" x14ac:dyDescent="0.3">
      <c r="G249" t="s">
        <v>216</v>
      </c>
      <c r="H249">
        <v>2847</v>
      </c>
      <c r="I249">
        <v>7</v>
      </c>
      <c r="J249" t="str">
        <f t="shared" si="3"/>
        <v>Temp</v>
      </c>
    </row>
    <row r="250" spans="7:10" x14ac:dyDescent="0.3">
      <c r="G250" t="s">
        <v>217</v>
      </c>
      <c r="H250">
        <v>4235</v>
      </c>
      <c r="I250">
        <v>13</v>
      </c>
      <c r="J250" t="str">
        <f t="shared" si="3"/>
        <v>Temp</v>
      </c>
    </row>
    <row r="251" spans="7:10" x14ac:dyDescent="0.3">
      <c r="G251" t="s">
        <v>218</v>
      </c>
      <c r="H251">
        <v>13111</v>
      </c>
      <c r="I251">
        <v>21</v>
      </c>
      <c r="J251" t="str">
        <f t="shared" si="3"/>
        <v/>
      </c>
    </row>
    <row r="252" spans="7:10" x14ac:dyDescent="0.3">
      <c r="G252" t="s">
        <v>219</v>
      </c>
      <c r="H252">
        <v>4850</v>
      </c>
      <c r="I252">
        <v>12</v>
      </c>
      <c r="J252" t="str">
        <f t="shared" si="3"/>
        <v>Temp</v>
      </c>
    </row>
    <row r="253" spans="7:10" x14ac:dyDescent="0.3">
      <c r="G253" t="s">
        <v>220</v>
      </c>
      <c r="H253">
        <v>3187</v>
      </c>
      <c r="I253">
        <v>11</v>
      </c>
      <c r="J253" t="str">
        <f t="shared" si="3"/>
        <v>Temp</v>
      </c>
    </row>
    <row r="254" spans="7:10" x14ac:dyDescent="0.3">
      <c r="G254" t="s">
        <v>221</v>
      </c>
      <c r="H254">
        <v>4844</v>
      </c>
      <c r="I254">
        <v>10</v>
      </c>
      <c r="J254" t="str">
        <f t="shared" si="3"/>
        <v>Temp</v>
      </c>
    </row>
    <row r="255" spans="7:10" x14ac:dyDescent="0.3">
      <c r="G255" t="s">
        <v>222</v>
      </c>
      <c r="H255">
        <v>2222</v>
      </c>
      <c r="I255">
        <v>9</v>
      </c>
      <c r="J255" t="str">
        <f t="shared" si="3"/>
        <v>Temp</v>
      </c>
    </row>
    <row r="256" spans="7:10" x14ac:dyDescent="0.3">
      <c r="G256" t="s">
        <v>223</v>
      </c>
      <c r="H256">
        <v>1860</v>
      </c>
      <c r="I256">
        <v>11</v>
      </c>
      <c r="J256" t="str">
        <f t="shared" si="3"/>
        <v>Temp</v>
      </c>
    </row>
    <row r="257" spans="7:10" x14ac:dyDescent="0.3">
      <c r="G257" t="s">
        <v>224</v>
      </c>
      <c r="H257">
        <v>8520</v>
      </c>
      <c r="I257">
        <v>10</v>
      </c>
      <c r="J257" t="str">
        <f t="shared" si="3"/>
        <v/>
      </c>
    </row>
    <row r="258" spans="7:10" x14ac:dyDescent="0.3">
      <c r="G258" t="s">
        <v>225</v>
      </c>
      <c r="H258">
        <v>5475</v>
      </c>
      <c r="I258">
        <v>9</v>
      </c>
      <c r="J258" t="str">
        <f t="shared" si="3"/>
        <v>Temp</v>
      </c>
    </row>
  </sheetData>
  <mergeCells count="2">
    <mergeCell ref="K8:L8"/>
    <mergeCell ref="U37:W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2025-12-28T06:57:35Z</dcterms:created>
  <dcterms:modified xsi:type="dcterms:W3CDTF">2025-12-28T08:07:15Z</dcterms:modified>
</cp:coreProperties>
</file>