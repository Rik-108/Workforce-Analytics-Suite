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HRA\Exam Prep\"/>
    </mc:Choice>
  </mc:AlternateContent>
  <xr:revisionPtr revIDLastSave="0" documentId="8_{60FF6AE3-C422-4869-A852-4A6F49712233}" xr6:coauthVersionLast="47" xr6:coauthVersionMax="47" xr10:uidLastSave="{00000000-0000-0000-0000-000000000000}"/>
  <bookViews>
    <workbookView xWindow="-108" yWindow="-108" windowWidth="23256" windowHeight="12456" xr2:uid="{70061624-C3A5-4ED9-AE1B-4EE409AF6E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1" i="1" l="1"/>
  <c r="H17" i="1"/>
  <c r="I16" i="1" s="1"/>
  <c r="J16" i="1" s="1"/>
  <c r="I14" i="1" l="1"/>
  <c r="J14" i="1" s="1"/>
  <c r="I13" i="1"/>
  <c r="J13" i="1" s="1"/>
  <c r="I12" i="1"/>
  <c r="I15" i="1"/>
  <c r="J15" i="1" s="1"/>
  <c r="J12" i="1" l="1"/>
  <c r="I20" i="1" s="1" a="1"/>
  <c r="I20" i="1" s="1"/>
  <c r="I22" i="1" s="1"/>
  <c r="I2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<sst xmlns="http://schemas.openxmlformats.org/spreadsheetml/2006/main" count="26" uniqueCount="26">
  <si>
    <t>H</t>
  </si>
  <si>
    <t>Thumb Rules</t>
  </si>
  <si>
    <t>Index &gt; 2.5</t>
  </si>
  <si>
    <t>Highly Diverse</t>
  </si>
  <si>
    <t>1.5 &gt; 2.5</t>
  </si>
  <si>
    <t>Medium</t>
  </si>
  <si>
    <t>&lt;1.5</t>
  </si>
  <si>
    <t>Low</t>
  </si>
  <si>
    <t>Departments</t>
  </si>
  <si>
    <t>No. of Employees</t>
  </si>
  <si>
    <t>HR</t>
  </si>
  <si>
    <t>Finance</t>
  </si>
  <si>
    <t>Operations</t>
  </si>
  <si>
    <t>Marketing</t>
  </si>
  <si>
    <t>General</t>
  </si>
  <si>
    <t>Pi (x/total x)</t>
  </si>
  <si>
    <t>Proportion</t>
  </si>
  <si>
    <t>log(Pi)</t>
  </si>
  <si>
    <t>x</t>
  </si>
  <si>
    <t>y</t>
  </si>
  <si>
    <t>Diversity</t>
  </si>
  <si>
    <t>Evenness Score</t>
  </si>
  <si>
    <t>Shanon Index</t>
  </si>
  <si>
    <t>Max Possible Diversity</t>
  </si>
  <si>
    <t>H'</t>
  </si>
  <si>
    <t>J'=(H'/H)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</si>
</sst>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0"/>
  </numFmts>
  <fonts count="1" x14ac:knownFonts="1">
    <font>
      <sz val="11"/>
      <color theme="1"/>
      <name val="Aptos Narrow"/>
      <family val="2"/>
      <scheme val="minor"/>
    </font>
  </fonts>
  <fills count="7">
    <fill>
      <patternFill patternType="none"/>
    </fill>
    <fill>
      <patternFill patternType="gray125"/>
    </fill>
    <fill>
      <patternFill patternType="solid">
        <fgColor theme="7" tint="0.3999755851924192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1" xfId="0" applyFill="1" applyBorder="1" applyAlignment="1">
      <alignment horizontal="center" vertical="center"/>
    </xf>
    <xf numFmtId="0" fontId="0" fillId="3" borderId="1" xfId="0" applyFill="1" applyBorder="1" applyAlignment="1">
      <alignment horizontal="center" vertical="center"/>
    </xf>
    <xf numFmtId="166" fontId="0" fillId="0" borderId="0" xfId="0" applyNumberFormat="1"/>
    <xf numFmtId="0" fontId="0" fillId="0" borderId="1" xfId="0" applyBorder="1"/>
    <xf numFmtId="0" fontId="0" fillId="4" borderId="1" xfId="0" applyFill="1" applyBorder="1" applyAlignment="1">
      <alignment horizontal="center" vertical="center"/>
    </xf>
    <xf numFmtId="0" fontId="0" fillId="2" borderId="1" xfId="0" applyFill="1" applyBorder="1"/>
    <xf numFmtId="0" fontId="0" fillId="5" borderId="1" xfId="0" applyFill="1" applyBorder="1" applyAlignment="1">
      <alignment horizontal="center" vertical="center"/>
    </xf>
    <xf numFmtId="0" fontId="0" fillId="2" borderId="1" xfId="0" applyFill="1" applyBorder="1" applyAlignment="1">
      <alignment horizontal="center" wrapText="1"/>
    </xf>
    <xf numFmtId="0" fontId="0" fillId="2" borderId="1" xfId="0" applyFill="1" applyBorder="1" applyAlignment="1">
      <alignment horizontal="center"/>
    </xf>
    <xf numFmtId="166" fontId="0" fillId="6" borderId="1" xfId="0" applyNumberFormat="1" applyFill="1" applyBorder="1" applyAlignment="1">
      <alignment horizontal="center"/>
    </xf>
    <xf numFmtId="166" fontId="0" fillId="6" borderId="1"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548640</xdr:colOff>
      <xdr:row>2</xdr:row>
      <xdr:rowOff>137160</xdr:rowOff>
    </xdr:from>
    <xdr:ext cx="3970020" cy="953466"/>
    <xdr:sp macro="" textlink="">
      <xdr:nvSpPr>
        <xdr:cNvPr id="2" name="TextBox 1">
          <a:extLst>
            <a:ext uri="{FF2B5EF4-FFF2-40B4-BE49-F238E27FC236}">
              <a16:creationId xmlns:a16="http://schemas.microsoft.com/office/drawing/2014/main" id="{3EB726E1-588F-4C37-7DF2-BF507BB5C66F}"/>
            </a:ext>
          </a:extLst>
        </xdr:cNvPr>
        <xdr:cNvSpPr txBox="1"/>
      </xdr:nvSpPr>
      <xdr:spPr>
        <a:xfrm>
          <a:off x="548640" y="502920"/>
          <a:ext cx="3970020" cy="953466"/>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r>
            <a:rPr lang="en-IN"/>
            <a:t>You are an HR Analyst for a mid-sized firm. Management wants to know if the workforce is distributed evenly across its five key departments or if certain departments are "dominating" the headcount. You have been asked to quantify the "diversity" of the departmental structure</a:t>
          </a:r>
          <a:endParaRPr lang="en-IN" sz="1100"/>
        </a:p>
      </xdr:txBody>
    </xdr:sp>
    <xdr:clientData/>
  </xdr:oneCellAnchor>
  <xdr:oneCellAnchor>
    <xdr:from>
      <xdr:col>0</xdr:col>
      <xdr:colOff>556260</xdr:colOff>
      <xdr:row>9</xdr:row>
      <xdr:rowOff>83820</xdr:rowOff>
    </xdr:from>
    <xdr:ext cx="3970020" cy="2159053"/>
    <xdr:sp macro="" textlink="">
      <xdr:nvSpPr>
        <xdr:cNvPr id="3" name="TextBox 2">
          <a:extLst>
            <a:ext uri="{FF2B5EF4-FFF2-40B4-BE49-F238E27FC236}">
              <a16:creationId xmlns:a16="http://schemas.microsoft.com/office/drawing/2014/main" id="{506EC62D-FF00-236E-41A9-43E608E1012A}"/>
            </a:ext>
          </a:extLst>
        </xdr:cNvPr>
        <xdr:cNvSpPr txBox="1"/>
      </xdr:nvSpPr>
      <xdr:spPr>
        <a:xfrm>
          <a:off x="556260" y="1729740"/>
          <a:ext cx="3970020" cy="2159053"/>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spAutoFit/>
        </a:bodyPr>
        <a:lstStyle/>
        <a:p>
          <a:r>
            <a:rPr lang="en-IN" sz="1100" b="1">
              <a:solidFill>
                <a:schemeClr val="dk1"/>
              </a:solidFill>
              <a:effectLst/>
              <a:latin typeface="+mn-lt"/>
              <a:ea typeface="+mn-ea"/>
              <a:cs typeface="+mn-cs"/>
            </a:rPr>
            <a:t>Shannon Index (H'):</a:t>
          </a:r>
          <a:r>
            <a:rPr lang="en-IN" sz="1100">
              <a:solidFill>
                <a:schemeClr val="dk1"/>
              </a:solidFill>
              <a:effectLst/>
              <a:latin typeface="+mn-lt"/>
              <a:ea typeface="+mn-ea"/>
              <a:cs typeface="+mn-cs"/>
            </a:rPr>
            <a:t> A combined score that measures diversity based on both the number of categories and how evenly data is distributed among them (higher score = more diverse/balanced).</a:t>
          </a:r>
        </a:p>
        <a:p>
          <a:r>
            <a:rPr lang="en-IN" sz="1100" b="1">
              <a:solidFill>
                <a:schemeClr val="dk1"/>
              </a:solidFill>
              <a:effectLst/>
              <a:latin typeface="+mn-lt"/>
              <a:ea typeface="+mn-ea"/>
              <a:cs typeface="+mn-cs"/>
            </a:rPr>
            <a:t>Evenness (J'):</a:t>
          </a:r>
          <a:r>
            <a:rPr lang="en-IN" sz="1100">
              <a:solidFill>
                <a:schemeClr val="dk1"/>
              </a:solidFill>
              <a:effectLst/>
              <a:latin typeface="+mn-lt"/>
              <a:ea typeface="+mn-ea"/>
              <a:cs typeface="+mn-cs"/>
            </a:rPr>
            <a:t> A value between 0 and 1 that specifically measures equality; </a:t>
          </a:r>
          <a:r>
            <a:rPr lang="en-IN" sz="1100" b="1">
              <a:solidFill>
                <a:schemeClr val="dk1"/>
              </a:solidFill>
              <a:effectLst/>
              <a:latin typeface="+mn-lt"/>
              <a:ea typeface="+mn-ea"/>
              <a:cs typeface="+mn-cs"/>
            </a:rPr>
            <a:t>1</a:t>
          </a:r>
          <a:r>
            <a:rPr lang="en-IN" sz="1100">
              <a:solidFill>
                <a:schemeClr val="dk1"/>
              </a:solidFill>
              <a:effectLst/>
              <a:latin typeface="+mn-lt"/>
              <a:ea typeface="+mn-ea"/>
              <a:cs typeface="+mn-cs"/>
            </a:rPr>
            <a:t> means all groups are exactly the same size, while </a:t>
          </a:r>
          <a:r>
            <a:rPr lang="en-IN" sz="1100" b="1">
              <a:solidFill>
                <a:schemeClr val="dk1"/>
              </a:solidFill>
              <a:effectLst/>
              <a:latin typeface="+mn-lt"/>
              <a:ea typeface="+mn-ea"/>
              <a:cs typeface="+mn-cs"/>
            </a:rPr>
            <a:t>0</a:t>
          </a:r>
          <a:r>
            <a:rPr lang="en-IN" sz="1100">
              <a:solidFill>
                <a:schemeClr val="dk1"/>
              </a:solidFill>
              <a:effectLst/>
              <a:latin typeface="+mn-lt"/>
              <a:ea typeface="+mn-ea"/>
              <a:cs typeface="+mn-cs"/>
            </a:rPr>
            <a:t> means one group dominates everything.</a:t>
          </a:r>
        </a:p>
        <a:p>
          <a:r>
            <a:rPr lang="en-IN" sz="1100" b="1">
              <a:solidFill>
                <a:schemeClr val="dk1"/>
              </a:solidFill>
              <a:effectLst/>
              <a:latin typeface="+mn-lt"/>
              <a:ea typeface="+mn-ea"/>
              <a:cs typeface="+mn-cs"/>
            </a:rPr>
            <a:t>Interpretation:</a:t>
          </a:r>
          <a:r>
            <a:rPr lang="en-IN" sz="1100">
              <a:solidFill>
                <a:schemeClr val="dk1"/>
              </a:solidFill>
              <a:effectLst/>
              <a:latin typeface="+mn-lt"/>
              <a:ea typeface="+mn-ea"/>
              <a:cs typeface="+mn-cs"/>
            </a:rPr>
            <a:t> Your result of </a:t>
          </a:r>
          <a:r>
            <a:rPr lang="en-IN" sz="1100" b="1">
              <a:solidFill>
                <a:schemeClr val="dk1"/>
              </a:solidFill>
              <a:effectLst/>
              <a:latin typeface="+mn-lt"/>
              <a:ea typeface="+mn-ea"/>
              <a:cs typeface="+mn-cs"/>
            </a:rPr>
            <a:t>0.982</a:t>
          </a:r>
          <a:r>
            <a:rPr lang="en-IN" sz="1100">
              <a:solidFill>
                <a:schemeClr val="dk1"/>
              </a:solidFill>
              <a:effectLst/>
              <a:latin typeface="+mn-lt"/>
              <a:ea typeface="+mn-ea"/>
              <a:cs typeface="+mn-cs"/>
            </a:rPr>
            <a:t> means the organization is </a:t>
          </a:r>
          <a:r>
            <a:rPr lang="en-IN" sz="1100" b="1">
              <a:solidFill>
                <a:schemeClr val="dk1"/>
              </a:solidFill>
              <a:effectLst/>
              <a:latin typeface="+mn-lt"/>
              <a:ea typeface="+mn-ea"/>
              <a:cs typeface="+mn-cs"/>
            </a:rPr>
            <a:t>extremely balanced</a:t>
          </a:r>
          <a:r>
            <a:rPr lang="en-IN" sz="1100">
              <a:solidFill>
                <a:schemeClr val="dk1"/>
              </a:solidFill>
              <a:effectLst/>
              <a:latin typeface="+mn-lt"/>
              <a:ea typeface="+mn-ea"/>
              <a:cs typeface="+mn-cs"/>
            </a:rPr>
            <a:t>, with employees spread almost perfectly equally across all departments. The value </a:t>
          </a:r>
          <a:r>
            <a:rPr lang="en-IN" sz="1100" b="1">
              <a:solidFill>
                <a:schemeClr val="dk1"/>
              </a:solidFill>
              <a:effectLst/>
              <a:latin typeface="+mn-lt"/>
              <a:ea typeface="+mn-ea"/>
              <a:cs typeface="+mn-cs"/>
            </a:rPr>
            <a:t>0.018</a:t>
          </a:r>
          <a:r>
            <a:rPr lang="en-IN" sz="1100">
              <a:solidFill>
                <a:schemeClr val="dk1"/>
              </a:solidFill>
              <a:effectLst/>
              <a:latin typeface="+mn-lt"/>
              <a:ea typeface="+mn-ea"/>
              <a:cs typeface="+mn-cs"/>
            </a:rPr>
            <a:t> (labeled "Diversity" in your sheet, but statistically called </a:t>
          </a:r>
          <a:r>
            <a:rPr lang="en-IN" sz="1100" b="1">
              <a:solidFill>
                <a:schemeClr val="dk1"/>
              </a:solidFill>
              <a:effectLst/>
              <a:latin typeface="+mn-lt"/>
              <a:ea typeface="+mn-ea"/>
              <a:cs typeface="+mn-cs"/>
            </a:rPr>
            <a:t>Redundancy</a:t>
          </a:r>
          <a:r>
            <a:rPr lang="en-IN" sz="1100">
              <a:solidFill>
                <a:schemeClr val="dk1"/>
              </a:solidFill>
              <a:effectLst/>
              <a:latin typeface="+mn-lt"/>
              <a:ea typeface="+mn-ea"/>
              <a:cs typeface="+mn-cs"/>
            </a:rPr>
            <a:t> or </a:t>
          </a:r>
          <a:r>
            <a:rPr lang="en-IN" sz="1100" b="1">
              <a:solidFill>
                <a:schemeClr val="dk1"/>
              </a:solidFill>
              <a:effectLst/>
              <a:latin typeface="+mn-lt"/>
              <a:ea typeface="+mn-ea"/>
              <a:cs typeface="+mn-cs"/>
            </a:rPr>
            <a:t>Dominance</a:t>
          </a:r>
          <a:r>
            <a:rPr lang="en-IN" sz="1100">
              <a:solidFill>
                <a:schemeClr val="dk1"/>
              </a:solidFill>
              <a:effectLst/>
              <a:latin typeface="+mn-lt"/>
              <a:ea typeface="+mn-ea"/>
              <a:cs typeface="+mn-cs"/>
            </a:rPr>
            <a:t>) confirms that there is almost zero inequality in the structure.</a:t>
          </a:r>
        </a:p>
        <a:p>
          <a:endParaRPr lang="en-IN"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1AF7C-35A1-488B-BDF1-F2191AAE354C}">
  <dimension ref="G3:J23"/>
  <sheetViews>
    <sheetView tabSelected="1" workbookViewId="0">
      <selection activeCell="L19" sqref="L19"/>
    </sheetView>
  </sheetViews>
  <sheetFormatPr defaultRowHeight="14.4" x14ac:dyDescent="0.3"/>
  <cols>
    <col min="2" max="2" width="11.77734375" customWidth="1"/>
    <col min="3" max="3" width="14.33203125" customWidth="1"/>
    <col min="4" max="4" width="11.21875" customWidth="1"/>
    <col min="6" max="6" width="12" customWidth="1"/>
    <col min="7" max="7" width="12.5546875" customWidth="1"/>
    <col min="8" max="8" width="15.77734375" customWidth="1"/>
    <col min="9" max="9" width="10.6640625" customWidth="1"/>
    <col min="10" max="10" width="12.33203125" customWidth="1"/>
    <col min="12" max="12" width="13.33203125" customWidth="1"/>
    <col min="13" max="13" width="15.44140625" customWidth="1"/>
    <col min="14" max="14" width="11.88671875" customWidth="1"/>
    <col min="15" max="15" width="12" customWidth="1"/>
  </cols>
  <sheetData>
    <row r="3" spans="7:10" x14ac:dyDescent="0.3">
      <c r="I3" s="1" t="s">
        <v>1</v>
      </c>
      <c r="J3" s="1"/>
    </row>
    <row r="4" spans="7:10" x14ac:dyDescent="0.3">
      <c r="I4" s="2" t="s">
        <v>2</v>
      </c>
      <c r="J4" s="2" t="s">
        <v>3</v>
      </c>
    </row>
    <row r="5" spans="7:10" x14ac:dyDescent="0.3">
      <c r="I5" s="2" t="s">
        <v>4</v>
      </c>
      <c r="J5" s="2" t="s">
        <v>5</v>
      </c>
    </row>
    <row r="6" spans="7:10" x14ac:dyDescent="0.3">
      <c r="I6" s="2" t="s">
        <v>6</v>
      </c>
      <c r="J6" s="2" t="s">
        <v>7</v>
      </c>
    </row>
    <row r="10" spans="7:10" ht="14.4" customHeight="1" x14ac:dyDescent="0.3">
      <c r="H10" s="9" t="s">
        <v>18</v>
      </c>
      <c r="I10" s="8" t="s">
        <v>16</v>
      </c>
      <c r="J10" s="9" t="s">
        <v>19</v>
      </c>
    </row>
    <row r="11" spans="7:10" ht="28.8" x14ac:dyDescent="0.3">
      <c r="G11" s="5" t="s">
        <v>8</v>
      </c>
      <c r="H11" s="5" t="s">
        <v>9</v>
      </c>
      <c r="I11" s="8" t="s">
        <v>15</v>
      </c>
      <c r="J11" s="9" t="s">
        <v>17</v>
      </c>
    </row>
    <row r="12" spans="7:10" x14ac:dyDescent="0.3">
      <c r="G12" s="7" t="s">
        <v>10</v>
      </c>
      <c r="H12" s="7">
        <v>3</v>
      </c>
      <c r="I12" s="10">
        <f>H12/$H$17</f>
        <v>0.14285714285714285</v>
      </c>
      <c r="J12" s="10">
        <f>IFERROR(LOG10(I12),0)</f>
        <v>-0.84509804001425681</v>
      </c>
    </row>
    <row r="13" spans="7:10" x14ac:dyDescent="0.3">
      <c r="G13" s="7" t="s">
        <v>11</v>
      </c>
      <c r="H13" s="7">
        <v>5</v>
      </c>
      <c r="I13" s="10">
        <f t="shared" ref="I13:I16" si="0">H13/$H$17</f>
        <v>0.23809523809523808</v>
      </c>
      <c r="J13" s="10">
        <f t="shared" ref="J13:J16" si="1">IFERROR(LOG10(I13),0)</f>
        <v>-0.62324929039790045</v>
      </c>
    </row>
    <row r="14" spans="7:10" x14ac:dyDescent="0.3">
      <c r="G14" s="7" t="s">
        <v>12</v>
      </c>
      <c r="H14" s="7">
        <v>5</v>
      </c>
      <c r="I14" s="10">
        <f t="shared" si="0"/>
        <v>0.23809523809523808</v>
      </c>
      <c r="J14" s="10">
        <f t="shared" si="1"/>
        <v>-0.62324929039790045</v>
      </c>
    </row>
    <row r="15" spans="7:10" x14ac:dyDescent="0.3">
      <c r="G15" s="7" t="s">
        <v>13</v>
      </c>
      <c r="H15" s="7">
        <v>5</v>
      </c>
      <c r="I15" s="10">
        <f t="shared" si="0"/>
        <v>0.23809523809523808</v>
      </c>
      <c r="J15" s="10">
        <f t="shared" si="1"/>
        <v>-0.62324929039790045</v>
      </c>
    </row>
    <row r="16" spans="7:10" x14ac:dyDescent="0.3">
      <c r="G16" s="7" t="s">
        <v>14</v>
      </c>
      <c r="H16" s="7">
        <v>3</v>
      </c>
      <c r="I16" s="10">
        <f t="shared" si="0"/>
        <v>0.14285714285714285</v>
      </c>
      <c r="J16" s="10">
        <f t="shared" si="1"/>
        <v>-0.84509804001425681</v>
      </c>
    </row>
    <row r="17" spans="8:10" x14ac:dyDescent="0.3">
      <c r="H17" s="4">
        <f>SUM(H12:H16)</f>
        <v>21</v>
      </c>
      <c r="I17" s="3"/>
      <c r="J17" s="3"/>
    </row>
    <row r="18" spans="8:10" x14ac:dyDescent="0.3">
      <c r="I18" s="3"/>
      <c r="J18" s="3"/>
    </row>
    <row r="19" spans="8:10" x14ac:dyDescent="0.3">
      <c r="I19" s="3"/>
      <c r="J19" s="3"/>
    </row>
    <row r="20" spans="8:10" x14ac:dyDescent="0.3">
      <c r="H20" s="6" t="s">
        <v>24</v>
      </c>
      <c r="I20" s="11" cm="1">
        <f t="array" ref="I20">-SUMPRODUCT(I12:I16*J12:J16)</f>
        <v>0.68663464743114511</v>
      </c>
      <c r="J20" s="3" t="s">
        <v>22</v>
      </c>
    </row>
    <row r="21" spans="8:10" x14ac:dyDescent="0.3">
      <c r="H21" s="6" t="s">
        <v>0</v>
      </c>
      <c r="I21" s="11">
        <f>LOG10(COUNTA(G12:G16))</f>
        <v>0.69897000433601886</v>
      </c>
      <c r="J21" s="3" t="s">
        <v>23</v>
      </c>
    </row>
    <row r="22" spans="8:10" x14ac:dyDescent="0.3">
      <c r="H22" s="6" t="s">
        <v>25</v>
      </c>
      <c r="I22" s="11">
        <f>I20/I21</f>
        <v>0.98235209404072832</v>
      </c>
      <c r="J22" s="3" t="s">
        <v>21</v>
      </c>
    </row>
    <row r="23" spans="8:10" x14ac:dyDescent="0.3">
      <c r="H23" s="6" t="s">
        <v>20</v>
      </c>
      <c r="I23" s="11">
        <f>1-I22</f>
        <v>1.7647905959271681E-2</v>
      </c>
      <c r="J23" s="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SkR illeR</dc:creator>
  <cp:lastModifiedBy>SkR illeR</cp:lastModifiedBy>
  <dcterms:created xsi:type="dcterms:W3CDTF">2025-12-28T08:10:08Z</dcterms:created>
  <dcterms:modified xsi:type="dcterms:W3CDTF">2025-12-28T09:57:34Z</dcterms:modified>
</cp:coreProperties>
</file>