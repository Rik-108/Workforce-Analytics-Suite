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HRA\Exam Prep\"/>
    </mc:Choice>
  </mc:AlternateContent>
  <xr:revisionPtr revIDLastSave="0" documentId="8_{60602F85-10CB-4DDB-BFE6-9A779F3708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3" sheetId="3" r:id="rId2"/>
  </sheets>
  <definedNames>
    <definedName name="solver_adj" localSheetId="0" hidden="1">Sheet1!$T$8:$T$12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Sheet1!$L$153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/>
  <c r="K3" i="1" s="1"/>
  <c r="L3" i="1" s="1"/>
  <c r="J4" i="1"/>
  <c r="K4" i="1" s="1"/>
  <c r="L4" i="1" s="1"/>
  <c r="J5" i="1"/>
  <c r="K5" i="1" s="1"/>
  <c r="L5" i="1" s="1"/>
  <c r="J6" i="1"/>
  <c r="K6" i="1" s="1"/>
  <c r="L6" i="1" s="1"/>
  <c r="J7" i="1"/>
  <c r="K7" i="1" s="1"/>
  <c r="L7" i="1" s="1"/>
  <c r="J8" i="1"/>
  <c r="K8" i="1" s="1"/>
  <c r="L8" i="1" s="1"/>
  <c r="J9" i="1"/>
  <c r="K9" i="1" s="1"/>
  <c r="L9" i="1" s="1"/>
  <c r="J10" i="1"/>
  <c r="K10" i="1" s="1"/>
  <c r="L10" i="1" s="1"/>
  <c r="J11" i="1"/>
  <c r="K11" i="1" s="1"/>
  <c r="L11" i="1" s="1"/>
  <c r="J12" i="1"/>
  <c r="K12" i="1" s="1"/>
  <c r="L12" i="1" s="1"/>
  <c r="J13" i="1"/>
  <c r="K13" i="1" s="1"/>
  <c r="L13" i="1" s="1"/>
  <c r="J14" i="1"/>
  <c r="K14" i="1" s="1"/>
  <c r="L14" i="1" s="1"/>
  <c r="J15" i="1"/>
  <c r="K15" i="1" s="1"/>
  <c r="L15" i="1" s="1"/>
  <c r="J16" i="1"/>
  <c r="K16" i="1" s="1"/>
  <c r="L16" i="1" s="1"/>
  <c r="J17" i="1"/>
  <c r="K17" i="1" s="1"/>
  <c r="L17" i="1" s="1"/>
  <c r="J18" i="1"/>
  <c r="K18" i="1" s="1"/>
  <c r="L18" i="1" s="1"/>
  <c r="J19" i="1"/>
  <c r="K19" i="1" s="1"/>
  <c r="L19" i="1" s="1"/>
  <c r="J20" i="1"/>
  <c r="K20" i="1" s="1"/>
  <c r="L20" i="1" s="1"/>
  <c r="J21" i="1"/>
  <c r="K21" i="1" s="1"/>
  <c r="L21" i="1" s="1"/>
  <c r="J22" i="1"/>
  <c r="K22" i="1" s="1"/>
  <c r="L22" i="1" s="1"/>
  <c r="J23" i="1"/>
  <c r="K23" i="1" s="1"/>
  <c r="L23" i="1" s="1"/>
  <c r="J24" i="1"/>
  <c r="K24" i="1" s="1"/>
  <c r="L24" i="1" s="1"/>
  <c r="J25" i="1"/>
  <c r="K25" i="1" s="1"/>
  <c r="L25" i="1" s="1"/>
  <c r="J26" i="1"/>
  <c r="K26" i="1" s="1"/>
  <c r="L26" i="1" s="1"/>
  <c r="J27" i="1"/>
  <c r="K27" i="1" s="1"/>
  <c r="L27" i="1" s="1"/>
  <c r="J28" i="1"/>
  <c r="K28" i="1" s="1"/>
  <c r="L28" i="1" s="1"/>
  <c r="J29" i="1"/>
  <c r="K29" i="1" s="1"/>
  <c r="L29" i="1" s="1"/>
  <c r="J30" i="1"/>
  <c r="K30" i="1" s="1"/>
  <c r="L30" i="1" s="1"/>
  <c r="J31" i="1"/>
  <c r="K31" i="1" s="1"/>
  <c r="L31" i="1" s="1"/>
  <c r="J32" i="1"/>
  <c r="K32" i="1" s="1"/>
  <c r="L32" i="1" s="1"/>
  <c r="J33" i="1"/>
  <c r="K33" i="1" s="1"/>
  <c r="L33" i="1" s="1"/>
  <c r="J34" i="1"/>
  <c r="K34" i="1" s="1"/>
  <c r="L34" i="1" s="1"/>
  <c r="J35" i="1"/>
  <c r="K35" i="1" s="1"/>
  <c r="L35" i="1" s="1"/>
  <c r="J36" i="1"/>
  <c r="K36" i="1" s="1"/>
  <c r="L36" i="1" s="1"/>
  <c r="J37" i="1"/>
  <c r="K37" i="1" s="1"/>
  <c r="L37" i="1" s="1"/>
  <c r="J38" i="1"/>
  <c r="K38" i="1" s="1"/>
  <c r="L38" i="1" s="1"/>
  <c r="J39" i="1"/>
  <c r="K39" i="1" s="1"/>
  <c r="L39" i="1" s="1"/>
  <c r="J40" i="1"/>
  <c r="K40" i="1" s="1"/>
  <c r="L40" i="1" s="1"/>
  <c r="J41" i="1"/>
  <c r="K41" i="1" s="1"/>
  <c r="L41" i="1" s="1"/>
  <c r="J42" i="1"/>
  <c r="K42" i="1" s="1"/>
  <c r="L42" i="1" s="1"/>
  <c r="J43" i="1"/>
  <c r="K43" i="1" s="1"/>
  <c r="L43" i="1" s="1"/>
  <c r="J44" i="1"/>
  <c r="K44" i="1" s="1"/>
  <c r="L44" i="1" s="1"/>
  <c r="J45" i="1"/>
  <c r="K45" i="1" s="1"/>
  <c r="L45" i="1" s="1"/>
  <c r="J46" i="1"/>
  <c r="K46" i="1" s="1"/>
  <c r="L46" i="1" s="1"/>
  <c r="J47" i="1"/>
  <c r="K47" i="1" s="1"/>
  <c r="L47" i="1" s="1"/>
  <c r="J48" i="1"/>
  <c r="K48" i="1" s="1"/>
  <c r="L48" i="1" s="1"/>
  <c r="J49" i="1"/>
  <c r="K49" i="1" s="1"/>
  <c r="L49" i="1" s="1"/>
  <c r="J50" i="1"/>
  <c r="K50" i="1" s="1"/>
  <c r="L50" i="1" s="1"/>
  <c r="J51" i="1"/>
  <c r="K51" i="1" s="1"/>
  <c r="L51" i="1" s="1"/>
  <c r="J52" i="1"/>
  <c r="K52" i="1" s="1"/>
  <c r="L52" i="1" s="1"/>
  <c r="J53" i="1"/>
  <c r="K53" i="1" s="1"/>
  <c r="L53" i="1" s="1"/>
  <c r="J54" i="1"/>
  <c r="K54" i="1" s="1"/>
  <c r="L54" i="1" s="1"/>
  <c r="J55" i="1"/>
  <c r="K55" i="1" s="1"/>
  <c r="L55" i="1" s="1"/>
  <c r="J56" i="1"/>
  <c r="K56" i="1" s="1"/>
  <c r="L56" i="1" s="1"/>
  <c r="J57" i="1"/>
  <c r="K57" i="1" s="1"/>
  <c r="L57" i="1" s="1"/>
  <c r="J58" i="1"/>
  <c r="K58" i="1" s="1"/>
  <c r="L58" i="1" s="1"/>
  <c r="J59" i="1"/>
  <c r="K59" i="1" s="1"/>
  <c r="L59" i="1" s="1"/>
  <c r="J60" i="1"/>
  <c r="K60" i="1" s="1"/>
  <c r="L60" i="1" s="1"/>
  <c r="J61" i="1"/>
  <c r="K61" i="1" s="1"/>
  <c r="L61" i="1" s="1"/>
  <c r="J62" i="1"/>
  <c r="K62" i="1" s="1"/>
  <c r="L62" i="1" s="1"/>
  <c r="J63" i="1"/>
  <c r="K63" i="1" s="1"/>
  <c r="L63" i="1" s="1"/>
  <c r="J64" i="1"/>
  <c r="K64" i="1" s="1"/>
  <c r="L64" i="1" s="1"/>
  <c r="J65" i="1"/>
  <c r="K65" i="1" s="1"/>
  <c r="L65" i="1" s="1"/>
  <c r="J66" i="1"/>
  <c r="K66" i="1" s="1"/>
  <c r="L66" i="1" s="1"/>
  <c r="J67" i="1"/>
  <c r="K67" i="1" s="1"/>
  <c r="L67" i="1" s="1"/>
  <c r="J68" i="1"/>
  <c r="K68" i="1" s="1"/>
  <c r="L68" i="1" s="1"/>
  <c r="J69" i="1"/>
  <c r="K69" i="1" s="1"/>
  <c r="L69" i="1" s="1"/>
  <c r="J70" i="1"/>
  <c r="K70" i="1" s="1"/>
  <c r="L70" i="1" s="1"/>
  <c r="J71" i="1"/>
  <c r="K71" i="1" s="1"/>
  <c r="L71" i="1" s="1"/>
  <c r="J72" i="1"/>
  <c r="K72" i="1" s="1"/>
  <c r="L72" i="1" s="1"/>
  <c r="J73" i="1"/>
  <c r="K73" i="1" s="1"/>
  <c r="L73" i="1" s="1"/>
  <c r="J74" i="1"/>
  <c r="K74" i="1" s="1"/>
  <c r="L74" i="1" s="1"/>
  <c r="J75" i="1"/>
  <c r="K75" i="1" s="1"/>
  <c r="L75" i="1" s="1"/>
  <c r="J76" i="1"/>
  <c r="K76" i="1" s="1"/>
  <c r="L76" i="1" s="1"/>
  <c r="J77" i="1"/>
  <c r="K77" i="1" s="1"/>
  <c r="L77" i="1" s="1"/>
  <c r="J78" i="1"/>
  <c r="K78" i="1" s="1"/>
  <c r="L78" i="1" s="1"/>
  <c r="J79" i="1"/>
  <c r="K79" i="1" s="1"/>
  <c r="L79" i="1" s="1"/>
  <c r="J80" i="1"/>
  <c r="K80" i="1" s="1"/>
  <c r="L80" i="1" s="1"/>
  <c r="J81" i="1"/>
  <c r="K81" i="1" s="1"/>
  <c r="L81" i="1" s="1"/>
  <c r="J82" i="1"/>
  <c r="K82" i="1" s="1"/>
  <c r="L82" i="1" s="1"/>
  <c r="J83" i="1"/>
  <c r="K83" i="1" s="1"/>
  <c r="L83" i="1" s="1"/>
  <c r="J84" i="1"/>
  <c r="K84" i="1" s="1"/>
  <c r="L84" i="1" s="1"/>
  <c r="J85" i="1"/>
  <c r="K85" i="1" s="1"/>
  <c r="L85" i="1" s="1"/>
  <c r="J86" i="1"/>
  <c r="K86" i="1" s="1"/>
  <c r="L86" i="1" s="1"/>
  <c r="J87" i="1"/>
  <c r="K87" i="1" s="1"/>
  <c r="L87" i="1" s="1"/>
  <c r="J88" i="1"/>
  <c r="K88" i="1" s="1"/>
  <c r="L88" i="1" s="1"/>
  <c r="J89" i="1"/>
  <c r="K89" i="1" s="1"/>
  <c r="L89" i="1" s="1"/>
  <c r="J90" i="1"/>
  <c r="K90" i="1" s="1"/>
  <c r="L90" i="1" s="1"/>
  <c r="J91" i="1"/>
  <c r="K91" i="1" s="1"/>
  <c r="L91" i="1" s="1"/>
  <c r="J92" i="1"/>
  <c r="K92" i="1" s="1"/>
  <c r="L92" i="1" s="1"/>
  <c r="J93" i="1"/>
  <c r="K93" i="1" s="1"/>
  <c r="L93" i="1" s="1"/>
  <c r="J94" i="1"/>
  <c r="K94" i="1" s="1"/>
  <c r="L94" i="1" s="1"/>
  <c r="J95" i="1"/>
  <c r="K95" i="1" s="1"/>
  <c r="L95" i="1" s="1"/>
  <c r="J96" i="1"/>
  <c r="K96" i="1" s="1"/>
  <c r="L96" i="1" s="1"/>
  <c r="J97" i="1"/>
  <c r="K97" i="1" s="1"/>
  <c r="L97" i="1" s="1"/>
  <c r="J98" i="1"/>
  <c r="K98" i="1" s="1"/>
  <c r="L98" i="1" s="1"/>
  <c r="J99" i="1"/>
  <c r="K99" i="1" s="1"/>
  <c r="L99" i="1" s="1"/>
  <c r="J100" i="1"/>
  <c r="K100" i="1" s="1"/>
  <c r="L100" i="1" s="1"/>
  <c r="J101" i="1"/>
  <c r="K101" i="1" s="1"/>
  <c r="L101" i="1" s="1"/>
  <c r="J102" i="1"/>
  <c r="K102" i="1" s="1"/>
  <c r="L102" i="1" s="1"/>
  <c r="J103" i="1"/>
  <c r="K103" i="1" s="1"/>
  <c r="L103" i="1" s="1"/>
  <c r="J104" i="1"/>
  <c r="K104" i="1" s="1"/>
  <c r="L104" i="1" s="1"/>
  <c r="J105" i="1"/>
  <c r="K105" i="1" s="1"/>
  <c r="L105" i="1" s="1"/>
  <c r="J106" i="1"/>
  <c r="K106" i="1" s="1"/>
  <c r="L106" i="1" s="1"/>
  <c r="J107" i="1"/>
  <c r="K107" i="1" s="1"/>
  <c r="L107" i="1" s="1"/>
  <c r="J108" i="1"/>
  <c r="K108" i="1" s="1"/>
  <c r="L108" i="1" s="1"/>
  <c r="J109" i="1"/>
  <c r="K109" i="1" s="1"/>
  <c r="L109" i="1" s="1"/>
  <c r="J110" i="1"/>
  <c r="K110" i="1" s="1"/>
  <c r="L110" i="1" s="1"/>
  <c r="J111" i="1"/>
  <c r="K111" i="1" s="1"/>
  <c r="L111" i="1" s="1"/>
  <c r="J112" i="1"/>
  <c r="K112" i="1" s="1"/>
  <c r="L112" i="1" s="1"/>
  <c r="J113" i="1"/>
  <c r="K113" i="1" s="1"/>
  <c r="L113" i="1" s="1"/>
  <c r="J114" i="1"/>
  <c r="K114" i="1" s="1"/>
  <c r="L114" i="1" s="1"/>
  <c r="J115" i="1"/>
  <c r="K115" i="1" s="1"/>
  <c r="L115" i="1" s="1"/>
  <c r="J116" i="1"/>
  <c r="K116" i="1" s="1"/>
  <c r="L116" i="1" s="1"/>
  <c r="J117" i="1"/>
  <c r="K117" i="1" s="1"/>
  <c r="L117" i="1" s="1"/>
  <c r="J118" i="1"/>
  <c r="K118" i="1" s="1"/>
  <c r="L118" i="1" s="1"/>
  <c r="J119" i="1"/>
  <c r="K119" i="1" s="1"/>
  <c r="L119" i="1" s="1"/>
  <c r="J120" i="1"/>
  <c r="K120" i="1" s="1"/>
  <c r="L120" i="1" s="1"/>
  <c r="J121" i="1"/>
  <c r="K121" i="1" s="1"/>
  <c r="L121" i="1" s="1"/>
  <c r="J122" i="1"/>
  <c r="K122" i="1" s="1"/>
  <c r="L122" i="1" s="1"/>
  <c r="J123" i="1"/>
  <c r="K123" i="1" s="1"/>
  <c r="L123" i="1" s="1"/>
  <c r="J124" i="1"/>
  <c r="K124" i="1" s="1"/>
  <c r="L124" i="1" s="1"/>
  <c r="J125" i="1"/>
  <c r="K125" i="1" s="1"/>
  <c r="L125" i="1" s="1"/>
  <c r="J126" i="1"/>
  <c r="K126" i="1" s="1"/>
  <c r="L126" i="1" s="1"/>
  <c r="J127" i="1"/>
  <c r="K127" i="1" s="1"/>
  <c r="L127" i="1" s="1"/>
  <c r="J128" i="1"/>
  <c r="K128" i="1" s="1"/>
  <c r="L128" i="1" s="1"/>
  <c r="J129" i="1"/>
  <c r="K129" i="1" s="1"/>
  <c r="L129" i="1" s="1"/>
  <c r="J130" i="1"/>
  <c r="K130" i="1" s="1"/>
  <c r="L130" i="1" s="1"/>
  <c r="J131" i="1"/>
  <c r="K131" i="1" s="1"/>
  <c r="L131" i="1" s="1"/>
  <c r="J132" i="1"/>
  <c r="K132" i="1" s="1"/>
  <c r="L132" i="1" s="1"/>
  <c r="J133" i="1"/>
  <c r="K133" i="1" s="1"/>
  <c r="L133" i="1" s="1"/>
  <c r="J134" i="1"/>
  <c r="K134" i="1" s="1"/>
  <c r="L134" i="1" s="1"/>
  <c r="J135" i="1"/>
  <c r="K135" i="1" s="1"/>
  <c r="L135" i="1" s="1"/>
  <c r="J136" i="1"/>
  <c r="K136" i="1" s="1"/>
  <c r="L136" i="1" s="1"/>
  <c r="J137" i="1"/>
  <c r="K137" i="1" s="1"/>
  <c r="L137" i="1" s="1"/>
  <c r="J138" i="1"/>
  <c r="K138" i="1" s="1"/>
  <c r="L138" i="1" s="1"/>
  <c r="J139" i="1"/>
  <c r="K139" i="1" s="1"/>
  <c r="L139" i="1" s="1"/>
  <c r="J140" i="1"/>
  <c r="K140" i="1" s="1"/>
  <c r="L140" i="1" s="1"/>
  <c r="J141" i="1"/>
  <c r="K141" i="1" s="1"/>
  <c r="L141" i="1" s="1"/>
  <c r="J142" i="1"/>
  <c r="K142" i="1" s="1"/>
  <c r="L142" i="1" s="1"/>
  <c r="J143" i="1"/>
  <c r="K143" i="1" s="1"/>
  <c r="L143" i="1" s="1"/>
  <c r="J144" i="1"/>
  <c r="K144" i="1" s="1"/>
  <c r="L144" i="1" s="1"/>
  <c r="J145" i="1"/>
  <c r="K145" i="1" s="1"/>
  <c r="L145" i="1" s="1"/>
  <c r="J146" i="1"/>
  <c r="K146" i="1" s="1"/>
  <c r="L146" i="1" s="1"/>
  <c r="J147" i="1"/>
  <c r="K147" i="1" s="1"/>
  <c r="L147" i="1" s="1"/>
  <c r="J148" i="1"/>
  <c r="K148" i="1" s="1"/>
  <c r="L148" i="1" s="1"/>
  <c r="J149" i="1"/>
  <c r="K149" i="1" s="1"/>
  <c r="L149" i="1" s="1"/>
  <c r="J150" i="1"/>
  <c r="K150" i="1" s="1"/>
  <c r="L150" i="1" s="1"/>
  <c r="J151" i="1"/>
  <c r="K151" i="1" s="1"/>
  <c r="L151" i="1" s="1"/>
  <c r="J152" i="1"/>
  <c r="K152" i="1" s="1"/>
  <c r="L152" i="1" s="1"/>
  <c r="J2" i="1"/>
  <c r="K2" i="1" s="1"/>
  <c r="L2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I2" i="1"/>
  <c r="H2" i="1"/>
  <c r="G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T3" i="1"/>
  <c r="U3" i="1"/>
  <c r="V3" i="1"/>
  <c r="S3" i="1"/>
  <c r="T2" i="1"/>
  <c r="U2" i="1"/>
  <c r="V2" i="1"/>
  <c r="S2" i="1"/>
  <c r="M71" i="1" l="1"/>
  <c r="M95" i="1"/>
  <c r="M15" i="1"/>
  <c r="M63" i="1"/>
  <c r="M135" i="1"/>
  <c r="M47" i="1"/>
  <c r="M127" i="1"/>
  <c r="M41" i="1"/>
  <c r="M111" i="1"/>
  <c r="M25" i="1"/>
  <c r="M103" i="1"/>
  <c r="M20" i="1"/>
  <c r="M79" i="1"/>
  <c r="M132" i="1"/>
  <c r="M100" i="1"/>
  <c r="M68" i="1"/>
  <c r="M39" i="1"/>
  <c r="M17" i="1"/>
  <c r="M36" i="1"/>
  <c r="M124" i="1"/>
  <c r="M92" i="1"/>
  <c r="M60" i="1"/>
  <c r="M33" i="1"/>
  <c r="M12" i="1"/>
  <c r="M151" i="1"/>
  <c r="M119" i="1"/>
  <c r="M87" i="1"/>
  <c r="M55" i="1"/>
  <c r="M31" i="1"/>
  <c r="M9" i="1"/>
  <c r="M148" i="1"/>
  <c r="M116" i="1"/>
  <c r="M84" i="1"/>
  <c r="M52" i="1"/>
  <c r="M28" i="1"/>
  <c r="M7" i="1"/>
  <c r="M143" i="1"/>
  <c r="M4" i="1"/>
  <c r="M140" i="1"/>
  <c r="M108" i="1"/>
  <c r="M76" i="1"/>
  <c r="M44" i="1"/>
  <c r="M23" i="1"/>
  <c r="M149" i="1"/>
  <c r="M141" i="1"/>
  <c r="M133" i="1"/>
  <c r="M125" i="1"/>
  <c r="M117" i="1"/>
  <c r="M109" i="1"/>
  <c r="M101" i="1"/>
  <c r="M93" i="1"/>
  <c r="M85" i="1"/>
  <c r="M77" i="1"/>
  <c r="M69" i="1"/>
  <c r="M61" i="1"/>
  <c r="M53" i="1"/>
  <c r="M45" i="1"/>
  <c r="M37" i="1"/>
  <c r="M29" i="1"/>
  <c r="M21" i="1"/>
  <c r="M13" i="1"/>
  <c r="M5" i="1"/>
  <c r="M147" i="1"/>
  <c r="M139" i="1"/>
  <c r="M131" i="1"/>
  <c r="M123" i="1"/>
  <c r="M115" i="1"/>
  <c r="M107" i="1"/>
  <c r="M99" i="1"/>
  <c r="M91" i="1"/>
  <c r="M83" i="1"/>
  <c r="M75" i="1"/>
  <c r="M67" i="1"/>
  <c r="M59" i="1"/>
  <c r="M51" i="1"/>
  <c r="M43" i="1"/>
  <c r="M35" i="1"/>
  <c r="M27" i="1"/>
  <c r="M19" i="1"/>
  <c r="M11" i="1"/>
  <c r="M3" i="1"/>
  <c r="M146" i="1"/>
  <c r="M138" i="1"/>
  <c r="M130" i="1"/>
  <c r="M122" i="1"/>
  <c r="M114" i="1"/>
  <c r="M106" i="1"/>
  <c r="M98" i="1"/>
  <c r="M90" i="1"/>
  <c r="M82" i="1"/>
  <c r="M74" i="1"/>
  <c r="M66" i="1"/>
  <c r="M58" i="1"/>
  <c r="M50" i="1"/>
  <c r="M42" i="1"/>
  <c r="M34" i="1"/>
  <c r="M26" i="1"/>
  <c r="M18" i="1"/>
  <c r="M10" i="1"/>
  <c r="M2" i="1"/>
  <c r="M145" i="1"/>
  <c r="M137" i="1"/>
  <c r="M129" i="1"/>
  <c r="M121" i="1"/>
  <c r="M113" i="1"/>
  <c r="M105" i="1"/>
  <c r="M97" i="1"/>
  <c r="M89" i="1"/>
  <c r="M81" i="1"/>
  <c r="M73" i="1"/>
  <c r="M65" i="1"/>
  <c r="M57" i="1"/>
  <c r="M49" i="1"/>
  <c r="M152" i="1"/>
  <c r="M144" i="1"/>
  <c r="M136" i="1"/>
  <c r="M128" i="1"/>
  <c r="M120" i="1"/>
  <c r="M112" i="1"/>
  <c r="M104" i="1"/>
  <c r="M96" i="1"/>
  <c r="M88" i="1"/>
  <c r="M80" i="1"/>
  <c r="M72" i="1"/>
  <c r="M64" i="1"/>
  <c r="M56" i="1"/>
  <c r="M48" i="1"/>
  <c r="M40" i="1"/>
  <c r="M32" i="1"/>
  <c r="M24" i="1"/>
  <c r="M16" i="1"/>
  <c r="M8" i="1"/>
  <c r="M150" i="1"/>
  <c r="M142" i="1"/>
  <c r="M134" i="1"/>
  <c r="M126" i="1"/>
  <c r="M118" i="1"/>
  <c r="M110" i="1"/>
  <c r="M102" i="1"/>
  <c r="M94" i="1"/>
  <c r="M86" i="1"/>
  <c r="M78" i="1"/>
  <c r="M70" i="1"/>
  <c r="M62" i="1"/>
  <c r="M54" i="1"/>
  <c r="M46" i="1"/>
  <c r="M38" i="1"/>
  <c r="M30" i="1"/>
  <c r="M22" i="1"/>
  <c r="M14" i="1"/>
  <c r="M6" i="1"/>
  <c r="L153" i="1"/>
  <c r="R19" i="1" l="1"/>
  <c r="S19" i="1"/>
  <c r="S20" i="1"/>
  <c r="R20" i="1"/>
</calcChain>
</file>

<file path=xl/sharedStrings.xml><?xml version="1.0" encoding="utf-8"?>
<sst xmlns="http://schemas.openxmlformats.org/spreadsheetml/2006/main" count="34" uniqueCount="30">
  <si>
    <t>Age</t>
  </si>
  <si>
    <t>Experience_Months</t>
  </si>
  <si>
    <t>Satisfaction_Rating_1_10</t>
  </si>
  <si>
    <t>Workload_Pressure_1_10</t>
  </si>
  <si>
    <t>Attrition</t>
  </si>
  <si>
    <t>Avg</t>
  </si>
  <si>
    <t>std</t>
  </si>
  <si>
    <t>S_Age</t>
  </si>
  <si>
    <t>S_Exp</t>
  </si>
  <si>
    <t>S_Satisfaction</t>
  </si>
  <si>
    <t>S_Work</t>
  </si>
  <si>
    <t>Standardize means (raw data-mean)/Std.dev</t>
  </si>
  <si>
    <t>AGE</t>
  </si>
  <si>
    <t>EXP</t>
  </si>
  <si>
    <t>SATIS</t>
  </si>
  <si>
    <t>WORK</t>
  </si>
  <si>
    <t>VAR</t>
  </si>
  <si>
    <t>COEFF</t>
  </si>
  <si>
    <t>INTERCEPT</t>
  </si>
  <si>
    <t>Linear Score</t>
  </si>
  <si>
    <t>Linear Score= int+(coeff_age*s_age)+(coeff_Exp*s_exp)…</t>
  </si>
  <si>
    <t>Probability</t>
  </si>
  <si>
    <t>Probability= 1/(1+Exp(-linear score))</t>
  </si>
  <si>
    <t>Log Loss</t>
  </si>
  <si>
    <t>Log loss= If Attrition is 1 then -LN(prob) otherwise -LN(1-Prob)</t>
  </si>
  <si>
    <t>Set cell</t>
  </si>
  <si>
    <t>Predictions</t>
  </si>
  <si>
    <t>Prediction= if Prob&gt;0.5 then 1 otherwise 0</t>
  </si>
  <si>
    <t>Actual</t>
  </si>
  <si>
    <t>Predicted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</si>
</sst>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3"/>
  <sheetViews>
    <sheetView tabSelected="1" zoomScale="89" workbookViewId="0">
      <selection activeCell="R19" sqref="R19"/>
    </sheetView>
  </sheetViews>
  <sheetFormatPr defaultRowHeight="14.4" x14ac:dyDescent="0.3"/>
  <cols>
    <col min="10" max="10" width="10.77734375" customWidth="1"/>
    <col min="11" max="11" width="10.21875" customWidth="1"/>
    <col min="18" max="18" width="9.777343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10</v>
      </c>
      <c r="J1" t="s">
        <v>19</v>
      </c>
      <c r="K1" t="s">
        <v>21</v>
      </c>
      <c r="L1" t="s">
        <v>23</v>
      </c>
      <c r="M1" t="s">
        <v>26</v>
      </c>
      <c r="R1" s="1"/>
      <c r="S1" s="1" t="s">
        <v>0</v>
      </c>
      <c r="T1" s="1" t="s">
        <v>1</v>
      </c>
      <c r="U1" s="1" t="s">
        <v>2</v>
      </c>
      <c r="V1" s="1" t="s">
        <v>3</v>
      </c>
    </row>
    <row r="2" spans="1:22" x14ac:dyDescent="0.3">
      <c r="A2">
        <v>49</v>
      </c>
      <c r="B2">
        <v>106</v>
      </c>
      <c r="C2">
        <v>6</v>
      </c>
      <c r="D2">
        <v>6</v>
      </c>
      <c r="E2">
        <v>0</v>
      </c>
      <c r="F2">
        <f>(A2-$S$2)/$S$3</f>
        <v>0.81768843816090142</v>
      </c>
      <c r="G2">
        <f>(B2-$T$2)/$T$3</f>
        <v>-0.67247877429574787</v>
      </c>
      <c r="H2">
        <f>(C2-$U$2)/$U$3</f>
        <v>7.5074940969906773E-2</v>
      </c>
      <c r="I2">
        <f>(D2-$V$2)/$V$3</f>
        <v>0.28910335917679852</v>
      </c>
      <c r="J2">
        <f>$T$8+$T$9*F2+$T$10*G2+$T$11*H2+$T$12*I2</f>
        <v>-0.84504800989035789</v>
      </c>
      <c r="K2">
        <f>1/(1+EXP(-J2))</f>
        <v>0.30047268109731212</v>
      </c>
      <c r="L2">
        <f>IF(E2=1,-LN(K2),-LN(1-K2))</f>
        <v>0.35735043073902689</v>
      </c>
      <c r="M2">
        <f>IF(K2 &gt; 0.5, 1, 0)</f>
        <v>0</v>
      </c>
      <c r="R2" s="1" t="s">
        <v>5</v>
      </c>
      <c r="S2" s="1">
        <f>AVERAGE(A2:A152)</f>
        <v>40.58278145695364</v>
      </c>
      <c r="T2" s="1">
        <f t="shared" ref="T2:V2" si="0">AVERAGE(B2:B152)</f>
        <v>160.72847682119206</v>
      </c>
      <c r="U2" s="1">
        <f t="shared" si="0"/>
        <v>5.7880794701986753</v>
      </c>
      <c r="V2" s="1">
        <f t="shared" si="0"/>
        <v>5.3774834437086092</v>
      </c>
    </row>
    <row r="3" spans="1:22" x14ac:dyDescent="0.3">
      <c r="A3">
        <v>54</v>
      </c>
      <c r="B3">
        <v>115</v>
      </c>
      <c r="C3">
        <v>5</v>
      </c>
      <c r="D3">
        <v>7</v>
      </c>
      <c r="E3">
        <v>1</v>
      </c>
      <c r="F3">
        <f t="shared" ref="F3:F66" si="1">(A3-$S$2)/$S$3</f>
        <v>1.3034120973359451</v>
      </c>
      <c r="G3">
        <f t="shared" ref="G3:G66" si="2">(B3-$T$2)/$T$3</f>
        <v>-0.56189084420524427</v>
      </c>
      <c r="H3">
        <f t="shared" ref="H3:H66" si="3">(C3-$U$2)/$U$3</f>
        <v>-0.27918493673184053</v>
      </c>
      <c r="I3">
        <f t="shared" ref="I3:I66" si="4">(D3-$V$2)/$V$3</f>
        <v>0.75351407445016627</v>
      </c>
      <c r="J3">
        <f t="shared" ref="J3:J66" si="5">$T$8+$T$9*F3+$T$10*G3+$T$11*H3+$T$12*I3</f>
        <v>-1.8720547376168009</v>
      </c>
      <c r="K3">
        <f t="shared" ref="K3:K66" si="6">1/(1+EXP(-J3))</f>
        <v>0.13330415124215583</v>
      </c>
      <c r="L3">
        <f t="shared" ref="L3:L66" si="7">IF(E3=1,-LN(K3),-LN(1-K3))</f>
        <v>2.0151219101806852</v>
      </c>
      <c r="M3">
        <f t="shared" ref="M3:M66" si="8">IF(K3 &gt; 0.5, 1, 0)</f>
        <v>0</v>
      </c>
      <c r="R3" s="1" t="s">
        <v>6</v>
      </c>
      <c r="S3" s="1">
        <f>_xlfn.STDEV.S(A2:A152)</f>
        <v>10.29391899190588</v>
      </c>
      <c r="T3" s="1">
        <f t="shared" ref="T3:V3" si="9">_xlfn.STDEV.S(B2:B152)</f>
        <v>81.383203326389534</v>
      </c>
      <c r="U3" s="1">
        <f t="shared" si="9"/>
        <v>2.8227864992430889</v>
      </c>
      <c r="V3" s="1">
        <f t="shared" si="9"/>
        <v>2.1532664236900012</v>
      </c>
    </row>
    <row r="4" spans="1:22" x14ac:dyDescent="0.3">
      <c r="A4">
        <v>31</v>
      </c>
      <c r="B4">
        <v>236</v>
      </c>
      <c r="C4">
        <v>7</v>
      </c>
      <c r="D4">
        <v>5</v>
      </c>
      <c r="E4">
        <v>1</v>
      </c>
      <c r="F4">
        <f t="shared" si="1"/>
        <v>-0.93091673486925552</v>
      </c>
      <c r="G4">
        <f t="shared" si="2"/>
        <v>0.92490243812263651</v>
      </c>
      <c r="H4">
        <f t="shared" si="3"/>
        <v>0.42933481867165407</v>
      </c>
      <c r="I4">
        <f t="shared" si="4"/>
        <v>-0.17530735609656925</v>
      </c>
      <c r="J4">
        <f t="shared" si="5"/>
        <v>1.2412522898123541</v>
      </c>
      <c r="K4">
        <f t="shared" si="6"/>
        <v>0.77578191821252751</v>
      </c>
      <c r="L4">
        <f t="shared" si="7"/>
        <v>0.25388383152743604</v>
      </c>
      <c r="M4">
        <f t="shared" si="8"/>
        <v>1</v>
      </c>
    </row>
    <row r="5" spans="1:22" x14ac:dyDescent="0.3">
      <c r="A5">
        <v>40</v>
      </c>
      <c r="B5">
        <v>180</v>
      </c>
      <c r="C5">
        <v>9</v>
      </c>
      <c r="D5">
        <v>6</v>
      </c>
      <c r="E5">
        <v>1</v>
      </c>
      <c r="F5">
        <f t="shared" si="1"/>
        <v>-5.6614148354177038E-2</v>
      </c>
      <c r="G5">
        <f t="shared" si="2"/>
        <v>0.23679976200394787</v>
      </c>
      <c r="H5">
        <f t="shared" si="3"/>
        <v>1.1378545740751487</v>
      </c>
      <c r="I5">
        <f t="shared" si="4"/>
        <v>0.28910335917679852</v>
      </c>
      <c r="J5">
        <f t="shared" si="5"/>
        <v>2.0662713767447021</v>
      </c>
      <c r="K5">
        <f t="shared" si="6"/>
        <v>0.88758145442908043</v>
      </c>
      <c r="L5">
        <f t="shared" si="7"/>
        <v>0.11925498220565904</v>
      </c>
      <c r="M5">
        <f t="shared" si="8"/>
        <v>1</v>
      </c>
      <c r="R5" s="2" t="s">
        <v>11</v>
      </c>
      <c r="S5" s="2"/>
      <c r="T5" s="2"/>
      <c r="U5" s="2"/>
      <c r="V5" s="2"/>
    </row>
    <row r="6" spans="1:22" x14ac:dyDescent="0.3">
      <c r="A6">
        <v>49</v>
      </c>
      <c r="B6">
        <v>14</v>
      </c>
      <c r="C6">
        <v>10</v>
      </c>
      <c r="D6">
        <v>7</v>
      </c>
      <c r="E6">
        <v>1</v>
      </c>
      <c r="F6">
        <f t="shared" si="1"/>
        <v>0.81768843816090142</v>
      </c>
      <c r="G6">
        <f t="shared" si="2"/>
        <v>-1.8029331707764507</v>
      </c>
      <c r="H6">
        <f t="shared" si="3"/>
        <v>1.4921144517768958</v>
      </c>
      <c r="I6">
        <f t="shared" si="4"/>
        <v>0.75351407445016627</v>
      </c>
      <c r="J6">
        <f t="shared" si="5"/>
        <v>0.59929977829989634</v>
      </c>
      <c r="K6">
        <f t="shared" si="6"/>
        <v>0.64549609020182652</v>
      </c>
      <c r="L6">
        <f t="shared" si="7"/>
        <v>0.43773612572102372</v>
      </c>
      <c r="M6">
        <f t="shared" si="8"/>
        <v>1</v>
      </c>
      <c r="R6" s="2"/>
      <c r="S6" s="2"/>
      <c r="T6" s="2"/>
      <c r="U6" s="2"/>
      <c r="V6" s="2"/>
    </row>
    <row r="7" spans="1:22" x14ac:dyDescent="0.3">
      <c r="A7">
        <v>47</v>
      </c>
      <c r="B7">
        <v>160</v>
      </c>
      <c r="C7">
        <v>6</v>
      </c>
      <c r="D7">
        <v>9</v>
      </c>
      <c r="E7">
        <v>0</v>
      </c>
      <c r="F7">
        <f t="shared" si="1"/>
        <v>0.62339897449088399</v>
      </c>
      <c r="G7">
        <f t="shared" si="2"/>
        <v>-8.9511937527266498E-3</v>
      </c>
      <c r="H7">
        <f t="shared" si="3"/>
        <v>7.5074940969906773E-2</v>
      </c>
      <c r="I7">
        <f t="shared" si="4"/>
        <v>1.6823355049969018</v>
      </c>
      <c r="J7">
        <f t="shared" si="5"/>
        <v>-2.1306571914708496</v>
      </c>
      <c r="K7">
        <f t="shared" si="6"/>
        <v>0.10615261841989412</v>
      </c>
      <c r="L7">
        <f t="shared" si="7"/>
        <v>0.11222023249814889</v>
      </c>
      <c r="M7">
        <f t="shared" si="8"/>
        <v>0</v>
      </c>
      <c r="S7" s="1" t="s">
        <v>16</v>
      </c>
      <c r="T7" s="1" t="s">
        <v>17</v>
      </c>
    </row>
    <row r="8" spans="1:22" x14ac:dyDescent="0.3">
      <c r="A8">
        <v>31</v>
      </c>
      <c r="B8">
        <v>216</v>
      </c>
      <c r="C8">
        <v>7</v>
      </c>
      <c r="D8">
        <v>7</v>
      </c>
      <c r="E8">
        <v>1</v>
      </c>
      <c r="F8">
        <f t="shared" si="1"/>
        <v>-0.93091673486925552</v>
      </c>
      <c r="G8">
        <f t="shared" si="2"/>
        <v>0.67915148236596201</v>
      </c>
      <c r="H8">
        <f t="shared" si="3"/>
        <v>0.42933481867165407</v>
      </c>
      <c r="I8">
        <f t="shared" si="4"/>
        <v>0.75351407445016627</v>
      </c>
      <c r="J8">
        <f t="shared" si="5"/>
        <v>-0.28123674923446129</v>
      </c>
      <c r="K8">
        <f t="shared" si="6"/>
        <v>0.43015059662454247</v>
      </c>
      <c r="L8">
        <f t="shared" si="7"/>
        <v>0.84361990690064836</v>
      </c>
      <c r="M8">
        <f t="shared" si="8"/>
        <v>0</v>
      </c>
      <c r="S8" s="1" t="s">
        <v>18</v>
      </c>
      <c r="T8" s="3">
        <v>-0.4135591125540124</v>
      </c>
    </row>
    <row r="9" spans="1:22" x14ac:dyDescent="0.3">
      <c r="A9">
        <v>42</v>
      </c>
      <c r="B9">
        <v>223</v>
      </c>
      <c r="C9">
        <v>8</v>
      </c>
      <c r="D9">
        <v>6</v>
      </c>
      <c r="E9">
        <v>1</v>
      </c>
      <c r="F9">
        <f t="shared" si="1"/>
        <v>0.1376753153158404</v>
      </c>
      <c r="G9">
        <f t="shared" si="2"/>
        <v>0.765164316880798</v>
      </c>
      <c r="H9">
        <f t="shared" si="3"/>
        <v>0.78359469637340129</v>
      </c>
      <c r="I9">
        <f t="shared" si="4"/>
        <v>0.28910335917679852</v>
      </c>
      <c r="J9">
        <f t="shared" si="5"/>
        <v>1.9372325458134563</v>
      </c>
      <c r="K9">
        <f t="shared" si="6"/>
        <v>0.87404779454764681</v>
      </c>
      <c r="L9">
        <f t="shared" si="7"/>
        <v>0.1346202199846383</v>
      </c>
      <c r="M9">
        <f t="shared" si="8"/>
        <v>1</v>
      </c>
      <c r="S9" s="1" t="s">
        <v>12</v>
      </c>
      <c r="T9" s="3">
        <v>0.62925219832991142</v>
      </c>
    </row>
    <row r="10" spans="1:22" x14ac:dyDescent="0.3">
      <c r="A10">
        <v>44</v>
      </c>
      <c r="B10">
        <v>58</v>
      </c>
      <c r="C10">
        <v>10</v>
      </c>
      <c r="D10">
        <v>5</v>
      </c>
      <c r="E10">
        <v>1</v>
      </c>
      <c r="F10">
        <f t="shared" si="1"/>
        <v>0.33196477898585786</v>
      </c>
      <c r="G10">
        <f t="shared" si="2"/>
        <v>-1.2622810681117667</v>
      </c>
      <c r="H10">
        <f t="shared" si="3"/>
        <v>1.4921144517768958</v>
      </c>
      <c r="I10">
        <f t="shared" si="4"/>
        <v>-0.17530735609656925</v>
      </c>
      <c r="J10">
        <f t="shared" si="5"/>
        <v>2.1362551224918036</v>
      </c>
      <c r="K10">
        <f t="shared" si="6"/>
        <v>0.89437736715138216</v>
      </c>
      <c r="L10">
        <f t="shared" si="7"/>
        <v>0.11162748196478345</v>
      </c>
      <c r="M10">
        <f t="shared" si="8"/>
        <v>1</v>
      </c>
      <c r="S10" s="1" t="s">
        <v>13</v>
      </c>
      <c r="T10" s="3">
        <v>1.085478943768539</v>
      </c>
    </row>
    <row r="11" spans="1:22" x14ac:dyDescent="0.3">
      <c r="A11">
        <v>24</v>
      </c>
      <c r="B11">
        <v>161</v>
      </c>
      <c r="C11">
        <v>3</v>
      </c>
      <c r="D11">
        <v>6</v>
      </c>
      <c r="E11">
        <v>0</v>
      </c>
      <c r="F11">
        <f t="shared" si="1"/>
        <v>-1.6109298577143165</v>
      </c>
      <c r="G11">
        <f t="shared" si="2"/>
        <v>3.3363540351070758E-3</v>
      </c>
      <c r="H11">
        <f t="shared" si="3"/>
        <v>-0.98770469213533507</v>
      </c>
      <c r="I11">
        <f t="shared" si="4"/>
        <v>0.28910335917679852</v>
      </c>
      <c r="J11">
        <f t="shared" si="5"/>
        <v>-4.1141518258219092</v>
      </c>
      <c r="K11">
        <f t="shared" si="6"/>
        <v>1.6077097077897905E-2</v>
      </c>
      <c r="L11">
        <f t="shared" si="7"/>
        <v>1.6207735688379875E-2</v>
      </c>
      <c r="M11">
        <f t="shared" si="8"/>
        <v>0</v>
      </c>
      <c r="S11" s="1" t="s">
        <v>14</v>
      </c>
      <c r="T11" s="3">
        <v>2.3283034685198642</v>
      </c>
    </row>
    <row r="12" spans="1:22" x14ac:dyDescent="0.3">
      <c r="A12">
        <v>50</v>
      </c>
      <c r="B12">
        <v>293</v>
      </c>
      <c r="C12">
        <v>5</v>
      </c>
      <c r="D12">
        <v>6</v>
      </c>
      <c r="E12">
        <v>0</v>
      </c>
      <c r="F12">
        <f t="shared" si="1"/>
        <v>0.91483316999591013</v>
      </c>
      <c r="G12">
        <f t="shared" si="2"/>
        <v>1.6252926620291588</v>
      </c>
      <c r="H12">
        <f t="shared" si="3"/>
        <v>-0.27918493673184053</v>
      </c>
      <c r="I12">
        <f t="shared" si="4"/>
        <v>0.28910335917679852</v>
      </c>
      <c r="J12">
        <f t="shared" si="5"/>
        <v>0.8854385358860688</v>
      </c>
      <c r="K12">
        <f t="shared" si="6"/>
        <v>0.70794795034149949</v>
      </c>
      <c r="L12">
        <f t="shared" si="7"/>
        <v>1.2308232403437622</v>
      </c>
      <c r="M12">
        <f t="shared" si="8"/>
        <v>1</v>
      </c>
      <c r="S12" s="1" t="s">
        <v>15</v>
      </c>
      <c r="T12" s="3">
        <v>-1.3519622931425963</v>
      </c>
    </row>
    <row r="13" spans="1:22" x14ac:dyDescent="0.3">
      <c r="A13">
        <v>49</v>
      </c>
      <c r="B13">
        <v>288</v>
      </c>
      <c r="C13">
        <v>3</v>
      </c>
      <c r="D13">
        <v>7</v>
      </c>
      <c r="E13">
        <v>0</v>
      </c>
      <c r="F13">
        <f t="shared" si="1"/>
        <v>0.81768843816090142</v>
      </c>
      <c r="G13">
        <f t="shared" si="2"/>
        <v>1.5638549230899903</v>
      </c>
      <c r="H13">
        <f t="shared" si="3"/>
        <v>-0.98770469213533507</v>
      </c>
      <c r="I13">
        <f t="shared" si="4"/>
        <v>0.75351407445016627</v>
      </c>
      <c r="J13">
        <f t="shared" si="5"/>
        <v>-1.5198941517502742</v>
      </c>
      <c r="K13">
        <f t="shared" si="6"/>
        <v>0.17947710662890384</v>
      </c>
      <c r="L13">
        <f t="shared" si="7"/>
        <v>0.19781346710924952</v>
      </c>
      <c r="M13">
        <f t="shared" si="8"/>
        <v>0</v>
      </c>
      <c r="Q13" s="2" t="s">
        <v>20</v>
      </c>
      <c r="R13" s="2"/>
      <c r="S13" s="2"/>
      <c r="T13" s="2"/>
      <c r="U13" s="2"/>
      <c r="V13" s="2"/>
    </row>
    <row r="14" spans="1:22" x14ac:dyDescent="0.3">
      <c r="A14">
        <v>36</v>
      </c>
      <c r="B14">
        <v>231</v>
      </c>
      <c r="C14">
        <v>4</v>
      </c>
      <c r="D14">
        <v>8</v>
      </c>
      <c r="E14">
        <v>0</v>
      </c>
      <c r="F14">
        <f t="shared" si="1"/>
        <v>-0.4451930756942119</v>
      </c>
      <c r="G14">
        <f t="shared" si="2"/>
        <v>0.8634646991834678</v>
      </c>
      <c r="H14">
        <f t="shared" si="3"/>
        <v>-0.6334448144335878</v>
      </c>
      <c r="I14">
        <f t="shared" si="4"/>
        <v>1.2179247897235339</v>
      </c>
      <c r="J14">
        <f t="shared" si="5"/>
        <v>-2.8778652346162481</v>
      </c>
      <c r="K14">
        <f t="shared" si="6"/>
        <v>5.325867334003824E-2</v>
      </c>
      <c r="L14">
        <f t="shared" si="7"/>
        <v>5.4729373414668991E-2</v>
      </c>
      <c r="M14">
        <f t="shared" si="8"/>
        <v>0</v>
      </c>
      <c r="Q14" s="2" t="s">
        <v>22</v>
      </c>
      <c r="R14" s="2"/>
      <c r="S14" s="2"/>
      <c r="T14" s="2"/>
      <c r="U14" s="2"/>
      <c r="V14" s="2"/>
    </row>
    <row r="15" spans="1:22" x14ac:dyDescent="0.3">
      <c r="A15">
        <v>54</v>
      </c>
      <c r="B15">
        <v>136</v>
      </c>
      <c r="C15">
        <v>2</v>
      </c>
      <c r="D15">
        <v>5</v>
      </c>
      <c r="E15">
        <v>0</v>
      </c>
      <c r="F15">
        <f t="shared" si="1"/>
        <v>1.3034120973359451</v>
      </c>
      <c r="G15">
        <f t="shared" si="2"/>
        <v>-0.30385234066073608</v>
      </c>
      <c r="H15">
        <f t="shared" si="3"/>
        <v>-1.3419645698370823</v>
      </c>
      <c r="I15">
        <f t="shared" si="4"/>
        <v>-0.17530735609656925</v>
      </c>
      <c r="J15">
        <f t="shared" si="5"/>
        <v>-2.8107013302069457</v>
      </c>
      <c r="K15">
        <f t="shared" si="6"/>
        <v>5.6748628177931117E-2</v>
      </c>
      <c r="L15">
        <f t="shared" si="7"/>
        <v>5.8422465781956485E-2</v>
      </c>
      <c r="M15">
        <f t="shared" si="8"/>
        <v>0</v>
      </c>
      <c r="Q15" s="2" t="s">
        <v>24</v>
      </c>
      <c r="R15" s="2"/>
      <c r="S15" s="2"/>
      <c r="T15" s="2"/>
      <c r="U15" s="2"/>
      <c r="V15" s="2"/>
    </row>
    <row r="16" spans="1:22" x14ac:dyDescent="0.3">
      <c r="A16">
        <v>33</v>
      </c>
      <c r="B16">
        <v>254</v>
      </c>
      <c r="C16">
        <v>2</v>
      </c>
      <c r="D16">
        <v>5</v>
      </c>
      <c r="E16">
        <v>0</v>
      </c>
      <c r="F16">
        <f t="shared" si="1"/>
        <v>-0.7366272711992381</v>
      </c>
      <c r="G16">
        <f t="shared" si="2"/>
        <v>1.1460782983036435</v>
      </c>
      <c r="H16">
        <f t="shared" si="3"/>
        <v>-1.3419645698370823</v>
      </c>
      <c r="I16">
        <f t="shared" si="4"/>
        <v>-0.17530735609656925</v>
      </c>
      <c r="J16">
        <f t="shared" si="5"/>
        <v>-2.5205314090165762</v>
      </c>
      <c r="K16">
        <f t="shared" si="6"/>
        <v>7.4431327425150268E-2</v>
      </c>
      <c r="L16">
        <f t="shared" si="7"/>
        <v>7.7346949208232998E-2</v>
      </c>
      <c r="M16">
        <f t="shared" si="8"/>
        <v>0</v>
      </c>
      <c r="Q16" s="2" t="s">
        <v>27</v>
      </c>
      <c r="R16" s="2"/>
      <c r="S16" s="2"/>
      <c r="T16" s="2"/>
      <c r="U16" s="2"/>
      <c r="V16" s="2"/>
    </row>
    <row r="17" spans="1:19" x14ac:dyDescent="0.3">
      <c r="A17">
        <v>57</v>
      </c>
      <c r="B17">
        <v>271</v>
      </c>
      <c r="C17">
        <v>1</v>
      </c>
      <c r="D17">
        <v>4</v>
      </c>
      <c r="E17">
        <v>1</v>
      </c>
      <c r="F17">
        <f t="shared" si="1"/>
        <v>1.5948462928409712</v>
      </c>
      <c r="G17">
        <f t="shared" si="2"/>
        <v>1.3549666106968168</v>
      </c>
      <c r="H17">
        <f t="shared" si="3"/>
        <v>-1.6962244475388295</v>
      </c>
      <c r="I17">
        <f t="shared" si="4"/>
        <v>-0.63971807136993697</v>
      </c>
      <c r="J17">
        <f t="shared" si="5"/>
        <v>-1.0236614052234914</v>
      </c>
      <c r="K17">
        <f t="shared" si="6"/>
        <v>0.26431481703429061</v>
      </c>
      <c r="L17">
        <f t="shared" si="7"/>
        <v>1.330614397519551</v>
      </c>
      <c r="M17">
        <f t="shared" si="8"/>
        <v>0</v>
      </c>
      <c r="R17" s="2" t="s">
        <v>29</v>
      </c>
      <c r="S17" s="2"/>
    </row>
    <row r="18" spans="1:19" x14ac:dyDescent="0.3">
      <c r="A18">
        <v>41</v>
      </c>
      <c r="B18">
        <v>237</v>
      </c>
      <c r="C18">
        <v>7</v>
      </c>
      <c r="D18">
        <v>7</v>
      </c>
      <c r="E18">
        <v>1</v>
      </c>
      <c r="F18">
        <f t="shared" si="1"/>
        <v>4.0530583480831682E-2</v>
      </c>
      <c r="G18">
        <f t="shared" si="2"/>
        <v>0.9371899859104702</v>
      </c>
      <c r="H18">
        <f t="shared" si="3"/>
        <v>0.42933481867165407</v>
      </c>
      <c r="I18">
        <f t="shared" si="4"/>
        <v>0.75351407445016627</v>
      </c>
      <c r="J18">
        <f t="shared" si="5"/>
        <v>0.61014397367813533</v>
      </c>
      <c r="K18">
        <f t="shared" si="6"/>
        <v>0.64797364372345456</v>
      </c>
      <c r="L18">
        <f t="shared" si="7"/>
        <v>0.43390525672331592</v>
      </c>
      <c r="M18">
        <f t="shared" si="8"/>
        <v>1</v>
      </c>
      <c r="R18">
        <v>0</v>
      </c>
      <c r="S18">
        <v>1</v>
      </c>
    </row>
    <row r="19" spans="1:19" x14ac:dyDescent="0.3">
      <c r="A19">
        <v>26</v>
      </c>
      <c r="B19">
        <v>17</v>
      </c>
      <c r="C19">
        <v>1</v>
      </c>
      <c r="D19">
        <v>4</v>
      </c>
      <c r="E19">
        <v>0</v>
      </c>
      <c r="F19">
        <f t="shared" si="1"/>
        <v>-1.4166403940442991</v>
      </c>
      <c r="G19">
        <f t="shared" si="2"/>
        <v>-1.7660705274129493</v>
      </c>
      <c r="H19">
        <f t="shared" si="3"/>
        <v>-1.6962244475388295</v>
      </c>
      <c r="I19">
        <f t="shared" si="4"/>
        <v>-0.63971807136993697</v>
      </c>
      <c r="J19">
        <f t="shared" si="5"/>
        <v>-6.3064661193250835</v>
      </c>
      <c r="K19">
        <f t="shared" si="6"/>
        <v>1.8211466909487536E-3</v>
      </c>
      <c r="L19">
        <f t="shared" si="7"/>
        <v>1.8228069946610605E-3</v>
      </c>
      <c r="M19">
        <f t="shared" si="8"/>
        <v>0</v>
      </c>
      <c r="P19" s="2" t="s">
        <v>28</v>
      </c>
      <c r="Q19">
        <v>0</v>
      </c>
      <c r="R19">
        <f>COUNTIFS($E:$E,0,$M:$M,0)</f>
        <v>71</v>
      </c>
      <c r="S19">
        <f>COUNTIFS(M2:M152,1,E2:E152,0)</f>
        <v>12</v>
      </c>
    </row>
    <row r="20" spans="1:19" x14ac:dyDescent="0.3">
      <c r="A20">
        <v>35</v>
      </c>
      <c r="B20">
        <v>244</v>
      </c>
      <c r="C20">
        <v>8</v>
      </c>
      <c r="D20">
        <v>7</v>
      </c>
      <c r="E20">
        <v>1</v>
      </c>
      <c r="F20">
        <f t="shared" si="1"/>
        <v>-0.54233780752922067</v>
      </c>
      <c r="G20">
        <f t="shared" si="2"/>
        <v>1.0232028204253063</v>
      </c>
      <c r="H20">
        <f t="shared" si="3"/>
        <v>0.78359469637340129</v>
      </c>
      <c r="I20">
        <f t="shared" si="4"/>
        <v>0.75351407445016627</v>
      </c>
      <c r="J20">
        <f t="shared" si="5"/>
        <v>1.1615623800681449</v>
      </c>
      <c r="K20">
        <f t="shared" si="6"/>
        <v>0.76161649152062205</v>
      </c>
      <c r="L20">
        <f t="shared" si="7"/>
        <v>0.27231214195709186</v>
      </c>
      <c r="M20">
        <f t="shared" si="8"/>
        <v>1</v>
      </c>
      <c r="P20" s="2"/>
      <c r="Q20">
        <v>1</v>
      </c>
      <c r="R20">
        <f>COUNTIFS(M2:M152,0,E2:E152,1)</f>
        <v>14</v>
      </c>
      <c r="S20">
        <f>COUNTIFS(M2:M152,1,E2:E152,1)</f>
        <v>54</v>
      </c>
    </row>
    <row r="21" spans="1:19" x14ac:dyDescent="0.3">
      <c r="A21">
        <v>53</v>
      </c>
      <c r="B21">
        <v>149</v>
      </c>
      <c r="C21">
        <v>5</v>
      </c>
      <c r="D21">
        <v>6</v>
      </c>
      <c r="E21">
        <v>0</v>
      </c>
      <c r="F21">
        <f t="shared" si="1"/>
        <v>1.2062673655009364</v>
      </c>
      <c r="G21">
        <f t="shared" si="2"/>
        <v>-0.14411421941889763</v>
      </c>
      <c r="H21">
        <f t="shared" si="3"/>
        <v>-0.27918493673184053</v>
      </c>
      <c r="I21">
        <f t="shared" si="4"/>
        <v>0.28910335917679852</v>
      </c>
      <c r="J21">
        <f t="shared" si="5"/>
        <v>-0.85182976869490523</v>
      </c>
      <c r="K21">
        <f t="shared" si="6"/>
        <v>0.29904916270424337</v>
      </c>
      <c r="L21">
        <f t="shared" si="7"/>
        <v>0.35531752665263877</v>
      </c>
      <c r="M21">
        <f t="shared" si="8"/>
        <v>0</v>
      </c>
    </row>
    <row r="22" spans="1:19" x14ac:dyDescent="0.3">
      <c r="A22">
        <v>56</v>
      </c>
      <c r="B22">
        <v>272</v>
      </c>
      <c r="C22">
        <v>9</v>
      </c>
      <c r="D22">
        <v>4</v>
      </c>
      <c r="E22">
        <v>1</v>
      </c>
      <c r="F22">
        <f t="shared" si="1"/>
        <v>1.4977015610059625</v>
      </c>
      <c r="G22">
        <f t="shared" si="2"/>
        <v>1.3672541584846505</v>
      </c>
      <c r="H22">
        <f t="shared" si="3"/>
        <v>1.1378545740751487</v>
      </c>
      <c r="I22">
        <f t="shared" si="4"/>
        <v>-0.63971807136993697</v>
      </c>
      <c r="J22">
        <f t="shared" si="5"/>
        <v>5.5271439491906111</v>
      </c>
      <c r="K22">
        <f t="shared" si="6"/>
        <v>0.99603842415755228</v>
      </c>
      <c r="L22">
        <f t="shared" si="7"/>
        <v>3.9694436702308747E-3</v>
      </c>
      <c r="M22">
        <f t="shared" si="8"/>
        <v>1</v>
      </c>
    </row>
    <row r="23" spans="1:19" x14ac:dyDescent="0.3">
      <c r="A23">
        <v>37</v>
      </c>
      <c r="B23">
        <v>48</v>
      </c>
      <c r="C23">
        <v>8</v>
      </c>
      <c r="D23">
        <v>3</v>
      </c>
      <c r="E23">
        <v>1</v>
      </c>
      <c r="F23">
        <f t="shared" si="1"/>
        <v>-0.34804834385920319</v>
      </c>
      <c r="G23">
        <f t="shared" si="2"/>
        <v>-1.3851565459901038</v>
      </c>
      <c r="H23">
        <f t="shared" si="3"/>
        <v>0.78359469637340129</v>
      </c>
      <c r="I23">
        <f t="shared" si="4"/>
        <v>-1.1041287866433047</v>
      </c>
      <c r="J23">
        <f t="shared" si="5"/>
        <v>1.1810591732470779</v>
      </c>
      <c r="K23">
        <f t="shared" si="6"/>
        <v>0.76513819248659332</v>
      </c>
      <c r="L23">
        <f t="shared" si="7"/>
        <v>0.26769881769639836</v>
      </c>
      <c r="M23">
        <f t="shared" si="8"/>
        <v>1</v>
      </c>
    </row>
    <row r="24" spans="1:19" x14ac:dyDescent="0.3">
      <c r="A24">
        <v>52</v>
      </c>
      <c r="B24">
        <v>243</v>
      </c>
      <c r="C24">
        <v>2</v>
      </c>
      <c r="D24">
        <v>6</v>
      </c>
      <c r="E24">
        <v>0</v>
      </c>
      <c r="F24">
        <f t="shared" si="1"/>
        <v>1.1091226336659277</v>
      </c>
      <c r="G24">
        <f t="shared" si="2"/>
        <v>1.0109152726374726</v>
      </c>
      <c r="H24">
        <f t="shared" si="3"/>
        <v>-1.3419645698370823</v>
      </c>
      <c r="I24">
        <f t="shared" si="4"/>
        <v>0.28910335917679852</v>
      </c>
      <c r="J24">
        <f t="shared" si="5"/>
        <v>-2.1336716177305965</v>
      </c>
      <c r="K24">
        <f t="shared" si="6"/>
        <v>0.10586693626014622</v>
      </c>
      <c r="L24">
        <f t="shared" si="7"/>
        <v>0.11190067401200687</v>
      </c>
      <c r="M24">
        <f t="shared" si="8"/>
        <v>0</v>
      </c>
    </row>
    <row r="25" spans="1:19" x14ac:dyDescent="0.3">
      <c r="A25">
        <v>33</v>
      </c>
      <c r="B25">
        <v>98</v>
      </c>
      <c r="C25">
        <v>10</v>
      </c>
      <c r="D25">
        <v>6</v>
      </c>
      <c r="E25">
        <v>1</v>
      </c>
      <c r="F25">
        <f t="shared" si="1"/>
        <v>-0.7366272711992381</v>
      </c>
      <c r="G25">
        <f t="shared" si="2"/>
        <v>-0.77077915659841767</v>
      </c>
      <c r="H25">
        <f t="shared" si="3"/>
        <v>1.4921144517768958</v>
      </c>
      <c r="I25">
        <f t="shared" si="4"/>
        <v>0.28910335917679852</v>
      </c>
      <c r="J25">
        <f t="shared" si="5"/>
        <v>1.3694904259837173</v>
      </c>
      <c r="K25">
        <f t="shared" si="6"/>
        <v>0.7972978117443057</v>
      </c>
      <c r="L25">
        <f t="shared" si="7"/>
        <v>0.22652700406003776</v>
      </c>
      <c r="M25">
        <f t="shared" si="8"/>
        <v>1</v>
      </c>
    </row>
    <row r="26" spans="1:19" x14ac:dyDescent="0.3">
      <c r="A26">
        <v>24</v>
      </c>
      <c r="B26">
        <v>278</v>
      </c>
      <c r="C26">
        <v>5</v>
      </c>
      <c r="D26">
        <v>6</v>
      </c>
      <c r="E26">
        <v>1</v>
      </c>
      <c r="F26">
        <f t="shared" si="1"/>
        <v>-1.6109298577143165</v>
      </c>
      <c r="G26">
        <f t="shared" si="2"/>
        <v>1.4409794452116529</v>
      </c>
      <c r="H26">
        <f t="shared" si="3"/>
        <v>-0.27918493673184053</v>
      </c>
      <c r="I26">
        <f t="shared" si="4"/>
        <v>0.28910335917679852</v>
      </c>
      <c r="J26">
        <f t="shared" si="5"/>
        <v>-0.90397151767465234</v>
      </c>
      <c r="K26">
        <f t="shared" si="6"/>
        <v>0.28823503353128666</v>
      </c>
      <c r="L26">
        <f t="shared" si="7"/>
        <v>1.2439790430151718</v>
      </c>
      <c r="M26">
        <f t="shared" si="8"/>
        <v>0</v>
      </c>
    </row>
    <row r="27" spans="1:19" x14ac:dyDescent="0.3">
      <c r="A27">
        <v>56</v>
      </c>
      <c r="B27">
        <v>49</v>
      </c>
      <c r="C27">
        <v>2</v>
      </c>
      <c r="D27">
        <v>1</v>
      </c>
      <c r="E27">
        <v>1</v>
      </c>
      <c r="F27">
        <f t="shared" si="1"/>
        <v>1.4977015610059625</v>
      </c>
      <c r="G27">
        <f t="shared" si="2"/>
        <v>-1.3728689982022702</v>
      </c>
      <c r="H27">
        <f t="shared" si="3"/>
        <v>-1.3419645698370823</v>
      </c>
      <c r="I27">
        <f t="shared" si="4"/>
        <v>-2.0329502171900402</v>
      </c>
      <c r="J27">
        <f t="shared" si="5"/>
        <v>-1.3373762280555037</v>
      </c>
      <c r="K27">
        <f t="shared" si="6"/>
        <v>0.20794186803050088</v>
      </c>
      <c r="L27">
        <f t="shared" si="7"/>
        <v>1.5704967189653984</v>
      </c>
      <c r="M27">
        <f t="shared" si="8"/>
        <v>0</v>
      </c>
    </row>
    <row r="28" spans="1:19" x14ac:dyDescent="0.3">
      <c r="A28">
        <v>23</v>
      </c>
      <c r="B28">
        <v>49</v>
      </c>
      <c r="C28">
        <v>8</v>
      </c>
      <c r="D28">
        <v>5</v>
      </c>
      <c r="E28">
        <v>0</v>
      </c>
      <c r="F28">
        <f t="shared" si="1"/>
        <v>-1.7080745895493252</v>
      </c>
      <c r="G28">
        <f t="shared" si="2"/>
        <v>-1.3728689982022702</v>
      </c>
      <c r="H28">
        <f t="shared" si="3"/>
        <v>0.78359469637340129</v>
      </c>
      <c r="I28">
        <f t="shared" si="4"/>
        <v>-0.17530735609656925</v>
      </c>
      <c r="J28">
        <f t="shared" si="5"/>
        <v>-0.91713400840751547</v>
      </c>
      <c r="K28">
        <f t="shared" si="6"/>
        <v>0.28554221956549297</v>
      </c>
      <c r="L28">
        <f t="shared" si="7"/>
        <v>0.33623137302286871</v>
      </c>
      <c r="M28">
        <f t="shared" si="8"/>
        <v>0</v>
      </c>
    </row>
    <row r="29" spans="1:19" x14ac:dyDescent="0.3">
      <c r="A29">
        <v>27</v>
      </c>
      <c r="B29">
        <v>278</v>
      </c>
      <c r="C29">
        <v>6</v>
      </c>
      <c r="D29">
        <v>4</v>
      </c>
      <c r="E29">
        <v>1</v>
      </c>
      <c r="F29">
        <f t="shared" si="1"/>
        <v>-1.3194956622092904</v>
      </c>
      <c r="G29">
        <f t="shared" si="2"/>
        <v>1.4409794452116529</v>
      </c>
      <c r="H29">
        <f t="shared" si="3"/>
        <v>7.5074940969906773E-2</v>
      </c>
      <c r="I29">
        <f t="shared" si="4"/>
        <v>-0.63971807136993697</v>
      </c>
      <c r="J29">
        <f t="shared" si="5"/>
        <v>1.3599701436877467</v>
      </c>
      <c r="K29">
        <f t="shared" si="6"/>
        <v>0.79575484524004725</v>
      </c>
      <c r="L29">
        <f t="shared" si="7"/>
        <v>0.22846412394114599</v>
      </c>
      <c r="M29">
        <f t="shared" si="8"/>
        <v>1</v>
      </c>
    </row>
    <row r="30" spans="1:19" x14ac:dyDescent="0.3">
      <c r="A30">
        <v>34</v>
      </c>
      <c r="B30">
        <v>128</v>
      </c>
      <c r="C30">
        <v>10</v>
      </c>
      <c r="D30">
        <v>7</v>
      </c>
      <c r="E30">
        <v>0</v>
      </c>
      <c r="F30">
        <f t="shared" si="1"/>
        <v>-0.63948253936422939</v>
      </c>
      <c r="G30">
        <f t="shared" si="2"/>
        <v>-0.40215272296340587</v>
      </c>
      <c r="H30">
        <f t="shared" si="3"/>
        <v>1.4921144517768958</v>
      </c>
      <c r="I30">
        <f t="shared" si="4"/>
        <v>0.75351407445016627</v>
      </c>
      <c r="J30">
        <f t="shared" si="5"/>
        <v>1.2028894182933869</v>
      </c>
      <c r="K30">
        <f t="shared" si="6"/>
        <v>0.76903839609082536</v>
      </c>
      <c r="L30">
        <f t="shared" si="7"/>
        <v>1.4655037991192938</v>
      </c>
      <c r="M30">
        <f t="shared" si="8"/>
        <v>1</v>
      </c>
    </row>
    <row r="31" spans="1:19" x14ac:dyDescent="0.3">
      <c r="A31">
        <v>26</v>
      </c>
      <c r="B31">
        <v>138</v>
      </c>
      <c r="C31">
        <v>9</v>
      </c>
      <c r="D31">
        <v>7</v>
      </c>
      <c r="E31">
        <v>0</v>
      </c>
      <c r="F31">
        <f t="shared" si="1"/>
        <v>-1.4166403940442991</v>
      </c>
      <c r="G31">
        <f t="shared" si="2"/>
        <v>-0.27927724508506863</v>
      </c>
      <c r="H31">
        <f t="shared" si="3"/>
        <v>1.1378545740751487</v>
      </c>
      <c r="I31">
        <f t="shared" si="4"/>
        <v>0.75351407445016627</v>
      </c>
      <c r="J31">
        <f t="shared" si="5"/>
        <v>2.2415371718626398E-2</v>
      </c>
      <c r="K31">
        <f t="shared" si="6"/>
        <v>0.50560360830439066</v>
      </c>
      <c r="L31">
        <f t="shared" si="7"/>
        <v>0.70441767121559384</v>
      </c>
      <c r="M31">
        <f t="shared" si="8"/>
        <v>1</v>
      </c>
    </row>
    <row r="32" spans="1:19" x14ac:dyDescent="0.3">
      <c r="A32">
        <v>39</v>
      </c>
      <c r="B32">
        <v>100</v>
      </c>
      <c r="C32">
        <v>9</v>
      </c>
      <c r="D32">
        <v>6</v>
      </c>
      <c r="E32">
        <v>0</v>
      </c>
      <c r="F32">
        <f t="shared" si="1"/>
        <v>-0.15375888018918576</v>
      </c>
      <c r="G32">
        <f t="shared" si="2"/>
        <v>-0.74620406102275016</v>
      </c>
      <c r="H32">
        <f t="shared" si="3"/>
        <v>1.1378545740751487</v>
      </c>
      <c r="I32">
        <f t="shared" si="4"/>
        <v>0.28910335917679852</v>
      </c>
      <c r="J32">
        <f t="shared" si="5"/>
        <v>0.93811288914189706</v>
      </c>
      <c r="K32">
        <f t="shared" si="6"/>
        <v>0.7187183122569204</v>
      </c>
      <c r="L32">
        <f t="shared" si="7"/>
        <v>1.268398664279067</v>
      </c>
      <c r="M32">
        <f t="shared" si="8"/>
        <v>1</v>
      </c>
    </row>
    <row r="33" spans="1:13" x14ac:dyDescent="0.3">
      <c r="A33">
        <v>42</v>
      </c>
      <c r="B33">
        <v>124</v>
      </c>
      <c r="C33">
        <v>4</v>
      </c>
      <c r="D33">
        <v>5</v>
      </c>
      <c r="E33">
        <v>0</v>
      </c>
      <c r="F33">
        <f t="shared" si="1"/>
        <v>0.1376753153158404</v>
      </c>
      <c r="G33">
        <f t="shared" si="2"/>
        <v>-0.45130291411474077</v>
      </c>
      <c r="H33">
        <f t="shared" si="3"/>
        <v>-0.6334448144335878</v>
      </c>
      <c r="I33">
        <f t="shared" si="4"/>
        <v>-0.17530735609656925</v>
      </c>
      <c r="J33">
        <f t="shared" si="5"/>
        <v>-2.0546492516772497</v>
      </c>
      <c r="K33">
        <f t="shared" si="6"/>
        <v>0.11358344256122738</v>
      </c>
      <c r="L33">
        <f t="shared" si="7"/>
        <v>0.12056828374257797</v>
      </c>
      <c r="M33">
        <f t="shared" si="8"/>
        <v>0</v>
      </c>
    </row>
    <row r="34" spans="1:13" x14ac:dyDescent="0.3">
      <c r="A34">
        <v>53</v>
      </c>
      <c r="B34">
        <v>55</v>
      </c>
      <c r="C34">
        <v>5</v>
      </c>
      <c r="D34">
        <v>4</v>
      </c>
      <c r="E34">
        <v>0</v>
      </c>
      <c r="F34">
        <f t="shared" si="1"/>
        <v>1.2062673655009364</v>
      </c>
      <c r="G34">
        <f t="shared" si="2"/>
        <v>-1.2991437114752677</v>
      </c>
      <c r="H34">
        <f t="shared" si="3"/>
        <v>-0.27918493673184053</v>
      </c>
      <c r="I34">
        <f t="shared" si="4"/>
        <v>-0.63971807136993697</v>
      </c>
      <c r="J34">
        <f t="shared" si="5"/>
        <v>-0.84985841059181499</v>
      </c>
      <c r="K34">
        <f t="shared" si="6"/>
        <v>0.29946255997910276</v>
      </c>
      <c r="L34">
        <f t="shared" si="7"/>
        <v>0.35590746706604059</v>
      </c>
      <c r="M34">
        <f t="shared" si="8"/>
        <v>0</v>
      </c>
    </row>
    <row r="35" spans="1:13" x14ac:dyDescent="0.3">
      <c r="A35">
        <v>50</v>
      </c>
      <c r="B35">
        <v>230</v>
      </c>
      <c r="C35">
        <v>9</v>
      </c>
      <c r="D35">
        <v>7</v>
      </c>
      <c r="E35">
        <v>1</v>
      </c>
      <c r="F35">
        <f t="shared" si="1"/>
        <v>0.91483316999591013</v>
      </c>
      <c r="G35">
        <f t="shared" si="2"/>
        <v>0.8511771513956341</v>
      </c>
      <c r="H35">
        <f t="shared" si="3"/>
        <v>1.1378545740751487</v>
      </c>
      <c r="I35">
        <f t="shared" si="4"/>
        <v>0.75351407445016627</v>
      </c>
      <c r="J35">
        <f t="shared" si="5"/>
        <v>2.7165846815093757</v>
      </c>
      <c r="K35">
        <f t="shared" si="6"/>
        <v>0.93799820397584177</v>
      </c>
      <c r="L35">
        <f t="shared" si="7"/>
        <v>6.4007244715654055E-2</v>
      </c>
      <c r="M35">
        <f t="shared" si="8"/>
        <v>1</v>
      </c>
    </row>
    <row r="36" spans="1:13" x14ac:dyDescent="0.3">
      <c r="A36">
        <v>27</v>
      </c>
      <c r="B36">
        <v>87</v>
      </c>
      <c r="C36">
        <v>2</v>
      </c>
      <c r="D36">
        <v>8</v>
      </c>
      <c r="E36">
        <v>0</v>
      </c>
      <c r="F36">
        <f t="shared" si="1"/>
        <v>-1.3194956622092904</v>
      </c>
      <c r="G36">
        <f t="shared" si="2"/>
        <v>-0.90594218226458856</v>
      </c>
      <c r="H36">
        <f t="shared" si="3"/>
        <v>-1.3419645698370823</v>
      </c>
      <c r="I36">
        <f t="shared" si="4"/>
        <v>1.2179247897235339</v>
      </c>
      <c r="J36">
        <f t="shared" si="5"/>
        <v>-6.9983249759782113</v>
      </c>
      <c r="K36">
        <f t="shared" si="6"/>
        <v>9.1257711203146053E-4</v>
      </c>
      <c r="L36">
        <f t="shared" si="7"/>
        <v>9.1299376402811515E-4</v>
      </c>
      <c r="M36">
        <f t="shared" si="8"/>
        <v>0</v>
      </c>
    </row>
    <row r="37" spans="1:13" x14ac:dyDescent="0.3">
      <c r="A37">
        <v>36</v>
      </c>
      <c r="B37">
        <v>224</v>
      </c>
      <c r="C37">
        <v>10</v>
      </c>
      <c r="D37">
        <v>3</v>
      </c>
      <c r="E37">
        <v>1</v>
      </c>
      <c r="F37">
        <f t="shared" si="1"/>
        <v>-0.4451930756942119</v>
      </c>
      <c r="G37">
        <f t="shared" si="2"/>
        <v>0.77745186466863181</v>
      </c>
      <c r="H37">
        <f t="shared" si="3"/>
        <v>1.4921144517768958</v>
      </c>
      <c r="I37">
        <f t="shared" si="4"/>
        <v>-1.1041287866433047</v>
      </c>
      <c r="J37">
        <f t="shared" si="5"/>
        <v>5.1170455345913348</v>
      </c>
      <c r="K37">
        <f t="shared" si="6"/>
        <v>0.99404200550554012</v>
      </c>
      <c r="L37">
        <f t="shared" si="7"/>
        <v>5.9758141585524198E-3</v>
      </c>
      <c r="M37">
        <f t="shared" si="8"/>
        <v>1</v>
      </c>
    </row>
    <row r="38" spans="1:13" x14ac:dyDescent="0.3">
      <c r="A38">
        <v>30</v>
      </c>
      <c r="B38">
        <v>214</v>
      </c>
      <c r="C38">
        <v>10</v>
      </c>
      <c r="D38">
        <v>7</v>
      </c>
      <c r="E38">
        <v>1</v>
      </c>
      <c r="F38">
        <f t="shared" si="1"/>
        <v>-1.0280614667042642</v>
      </c>
      <c r="G38">
        <f t="shared" si="2"/>
        <v>0.65457638679029451</v>
      </c>
      <c r="H38">
        <f t="shared" si="3"/>
        <v>1.4921144517768958</v>
      </c>
      <c r="I38">
        <f t="shared" si="4"/>
        <v>0.75351407445016627</v>
      </c>
      <c r="J38">
        <f t="shared" si="5"/>
        <v>2.1054324719449062</v>
      </c>
      <c r="K38">
        <f t="shared" si="6"/>
        <v>0.89143006613321418</v>
      </c>
      <c r="L38">
        <f t="shared" si="7"/>
        <v>0.11492828992337967</v>
      </c>
      <c r="M38">
        <f t="shared" si="8"/>
        <v>1</v>
      </c>
    </row>
    <row r="39" spans="1:13" x14ac:dyDescent="0.3">
      <c r="A39">
        <v>23</v>
      </c>
      <c r="B39">
        <v>43</v>
      </c>
      <c r="C39">
        <v>7</v>
      </c>
      <c r="D39">
        <v>4</v>
      </c>
      <c r="E39">
        <v>0</v>
      </c>
      <c r="F39">
        <f t="shared" si="1"/>
        <v>-1.7080745895493252</v>
      </c>
      <c r="G39">
        <f t="shared" si="2"/>
        <v>-1.4465942849292726</v>
      </c>
      <c r="H39">
        <f t="shared" si="3"/>
        <v>0.42933481867165407</v>
      </c>
      <c r="I39">
        <f t="shared" si="4"/>
        <v>-0.63971807136993697</v>
      </c>
      <c r="J39">
        <f t="shared" si="5"/>
        <v>-1.1941199812023999</v>
      </c>
      <c r="K39">
        <f t="shared" si="6"/>
        <v>0.23252289034186779</v>
      </c>
      <c r="L39">
        <f t="shared" si="7"/>
        <v>0.26464662451521043</v>
      </c>
      <c r="M39">
        <f t="shared" si="8"/>
        <v>0</v>
      </c>
    </row>
    <row r="40" spans="1:13" x14ac:dyDescent="0.3">
      <c r="A40">
        <v>34</v>
      </c>
      <c r="B40">
        <v>165</v>
      </c>
      <c r="C40">
        <v>1</v>
      </c>
      <c r="D40">
        <v>1</v>
      </c>
      <c r="E40">
        <v>0</v>
      </c>
      <c r="F40">
        <f t="shared" si="1"/>
        <v>-0.63948253936422939</v>
      </c>
      <c r="G40">
        <f t="shared" si="2"/>
        <v>5.2486545186441975E-2</v>
      </c>
      <c r="H40">
        <f t="shared" si="3"/>
        <v>-1.6962244475388295</v>
      </c>
      <c r="I40">
        <f t="shared" si="4"/>
        <v>-2.0329502171900402</v>
      </c>
      <c r="J40">
        <f t="shared" si="5"/>
        <v>-1.9598350937273703</v>
      </c>
      <c r="K40">
        <f t="shared" si="6"/>
        <v>0.12348489531434191</v>
      </c>
      <c r="L40">
        <f t="shared" si="7"/>
        <v>0.13180134181364833</v>
      </c>
      <c r="M40">
        <f t="shared" si="8"/>
        <v>0</v>
      </c>
    </row>
    <row r="41" spans="1:13" x14ac:dyDescent="0.3">
      <c r="A41">
        <v>33</v>
      </c>
      <c r="B41">
        <v>232</v>
      </c>
      <c r="C41">
        <v>1</v>
      </c>
      <c r="D41">
        <v>4</v>
      </c>
      <c r="E41">
        <v>0</v>
      </c>
      <c r="F41">
        <f t="shared" si="1"/>
        <v>-0.7366272711992381</v>
      </c>
      <c r="G41">
        <f t="shared" si="2"/>
        <v>0.87575224697130161</v>
      </c>
      <c r="H41">
        <f t="shared" si="3"/>
        <v>-1.6962244475388295</v>
      </c>
      <c r="I41">
        <f t="shared" si="4"/>
        <v>-0.63971807136993697</v>
      </c>
      <c r="J41">
        <f t="shared" si="5"/>
        <v>-3.0109233721193518</v>
      </c>
      <c r="K41">
        <f t="shared" si="6"/>
        <v>4.6934824162266249E-2</v>
      </c>
      <c r="L41">
        <f t="shared" si="7"/>
        <v>4.8071987490430367E-2</v>
      </c>
      <c r="M41">
        <f t="shared" si="8"/>
        <v>0</v>
      </c>
    </row>
    <row r="42" spans="1:13" x14ac:dyDescent="0.3">
      <c r="A42">
        <v>47</v>
      </c>
      <c r="B42">
        <v>178</v>
      </c>
      <c r="C42">
        <v>6</v>
      </c>
      <c r="D42">
        <v>4</v>
      </c>
      <c r="E42">
        <v>0</v>
      </c>
      <c r="F42">
        <f t="shared" si="1"/>
        <v>0.62339897449088399</v>
      </c>
      <c r="G42">
        <f t="shared" si="2"/>
        <v>0.21222466642828042</v>
      </c>
      <c r="H42">
        <f t="shared" si="3"/>
        <v>7.5074940969906773E-2</v>
      </c>
      <c r="I42">
        <f t="shared" si="4"/>
        <v>-0.63971807136993697</v>
      </c>
      <c r="J42">
        <f t="shared" si="5"/>
        <v>1.2487534255304062</v>
      </c>
      <c r="K42">
        <f t="shared" si="6"/>
        <v>0.77708399857632715</v>
      </c>
      <c r="L42">
        <f t="shared" si="7"/>
        <v>1.5009602537121192</v>
      </c>
      <c r="M42">
        <f t="shared" si="8"/>
        <v>1</v>
      </c>
    </row>
    <row r="43" spans="1:13" x14ac:dyDescent="0.3">
      <c r="A43">
        <v>30</v>
      </c>
      <c r="B43">
        <v>190</v>
      </c>
      <c r="C43">
        <v>8</v>
      </c>
      <c r="D43">
        <v>9</v>
      </c>
      <c r="E43">
        <v>1</v>
      </c>
      <c r="F43">
        <f t="shared" si="1"/>
        <v>-1.0280614667042642</v>
      </c>
      <c r="G43">
        <f t="shared" si="2"/>
        <v>0.35967523988228511</v>
      </c>
      <c r="H43">
        <f t="shared" si="3"/>
        <v>0.78359469637340129</v>
      </c>
      <c r="I43">
        <f t="shared" si="4"/>
        <v>1.6823355049969018</v>
      </c>
      <c r="J43">
        <f t="shared" si="5"/>
        <v>-1.1200570686996838</v>
      </c>
      <c r="K43">
        <f t="shared" si="6"/>
        <v>0.24600069804668442</v>
      </c>
      <c r="L43">
        <f t="shared" si="7"/>
        <v>1.4024209054656522</v>
      </c>
      <c r="M43">
        <f t="shared" si="8"/>
        <v>0</v>
      </c>
    </row>
    <row r="44" spans="1:13" x14ac:dyDescent="0.3">
      <c r="A44">
        <v>56</v>
      </c>
      <c r="B44">
        <v>101</v>
      </c>
      <c r="C44">
        <v>7</v>
      </c>
      <c r="D44">
        <v>4</v>
      </c>
      <c r="E44">
        <v>0</v>
      </c>
      <c r="F44">
        <f t="shared" si="1"/>
        <v>1.4977015610059625</v>
      </c>
      <c r="G44">
        <f t="shared" si="2"/>
        <v>-0.73391651323491647</v>
      </c>
      <c r="H44">
        <f t="shared" si="3"/>
        <v>0.42933481867165407</v>
      </c>
      <c r="I44">
        <f t="shared" si="4"/>
        <v>-0.63971807136993697</v>
      </c>
      <c r="J44">
        <f t="shared" si="5"/>
        <v>1.5967184237542216</v>
      </c>
      <c r="K44">
        <f t="shared" si="6"/>
        <v>0.83155923974739343</v>
      </c>
      <c r="L44">
        <f t="shared" si="7"/>
        <v>1.7811711622065121</v>
      </c>
      <c r="M44">
        <f t="shared" si="8"/>
        <v>1</v>
      </c>
    </row>
    <row r="45" spans="1:13" x14ac:dyDescent="0.3">
      <c r="A45">
        <v>23</v>
      </c>
      <c r="B45">
        <v>104</v>
      </c>
      <c r="C45">
        <v>2</v>
      </c>
      <c r="D45">
        <v>9</v>
      </c>
      <c r="E45">
        <v>0</v>
      </c>
      <c r="F45">
        <f t="shared" si="1"/>
        <v>-1.7080745895493252</v>
      </c>
      <c r="G45">
        <f t="shared" si="2"/>
        <v>-0.69705386987141527</v>
      </c>
      <c r="H45">
        <f t="shared" si="3"/>
        <v>-1.3419645698370823</v>
      </c>
      <c r="I45">
        <f t="shared" si="4"/>
        <v>1.6823355049969018</v>
      </c>
      <c r="J45">
        <f t="shared" si="5"/>
        <v>-7.6439610311104484</v>
      </c>
      <c r="K45">
        <f t="shared" si="6"/>
        <v>4.7869838078176561E-4</v>
      </c>
      <c r="L45">
        <f t="shared" si="7"/>
        <v>4.7881299342967274E-4</v>
      </c>
      <c r="M45">
        <f t="shared" si="8"/>
        <v>0</v>
      </c>
    </row>
    <row r="46" spans="1:13" x14ac:dyDescent="0.3">
      <c r="A46">
        <v>57</v>
      </c>
      <c r="B46">
        <v>170</v>
      </c>
      <c r="C46">
        <v>5</v>
      </c>
      <c r="D46">
        <v>5</v>
      </c>
      <c r="E46">
        <v>0</v>
      </c>
      <c r="F46">
        <f t="shared" si="1"/>
        <v>1.5948462928409712</v>
      </c>
      <c r="G46">
        <f t="shared" si="2"/>
        <v>0.11392428412561061</v>
      </c>
      <c r="H46">
        <f t="shared" si="3"/>
        <v>-0.27918493673184053</v>
      </c>
      <c r="I46">
        <f t="shared" si="4"/>
        <v>-0.17530735609656925</v>
      </c>
      <c r="J46">
        <f t="shared" si="5"/>
        <v>0.30064551341857365</v>
      </c>
      <c r="K46">
        <f t="shared" si="6"/>
        <v>0.57460031034410386</v>
      </c>
      <c r="L46">
        <f t="shared" si="7"/>
        <v>0.85472610575106622</v>
      </c>
      <c r="M46">
        <f t="shared" si="8"/>
        <v>1</v>
      </c>
    </row>
    <row r="47" spans="1:13" x14ac:dyDescent="0.3">
      <c r="A47">
        <v>44</v>
      </c>
      <c r="B47">
        <v>180</v>
      </c>
      <c r="C47">
        <v>5</v>
      </c>
      <c r="D47">
        <v>4</v>
      </c>
      <c r="E47">
        <v>0</v>
      </c>
      <c r="F47">
        <f t="shared" si="1"/>
        <v>0.33196477898585786</v>
      </c>
      <c r="G47">
        <f t="shared" si="2"/>
        <v>0.23679976200394787</v>
      </c>
      <c r="H47">
        <f t="shared" si="3"/>
        <v>-0.27918493673184053</v>
      </c>
      <c r="I47">
        <f t="shared" si="4"/>
        <v>-0.63971807136993697</v>
      </c>
      <c r="J47">
        <f t="shared" si="5"/>
        <v>0.26721906411844454</v>
      </c>
      <c r="K47">
        <f t="shared" si="6"/>
        <v>0.56641006229540536</v>
      </c>
      <c r="L47">
        <f t="shared" si="7"/>
        <v>0.83565603552681589</v>
      </c>
      <c r="M47">
        <f t="shared" si="8"/>
        <v>1</v>
      </c>
    </row>
    <row r="48" spans="1:13" x14ac:dyDescent="0.3">
      <c r="A48">
        <v>36</v>
      </c>
      <c r="B48">
        <v>84</v>
      </c>
      <c r="C48">
        <v>10</v>
      </c>
      <c r="D48">
        <v>4</v>
      </c>
      <c r="E48">
        <v>1</v>
      </c>
      <c r="F48">
        <f t="shared" si="1"/>
        <v>-0.4451930756942119</v>
      </c>
      <c r="G48">
        <f t="shared" si="2"/>
        <v>-0.94280482562808976</v>
      </c>
      <c r="H48">
        <f t="shared" si="3"/>
        <v>1.4921144517768958</v>
      </c>
      <c r="I48">
        <f t="shared" si="4"/>
        <v>-0.63971807136993697</v>
      </c>
      <c r="J48">
        <f t="shared" si="5"/>
        <v>2.621877343816311</v>
      </c>
      <c r="K48">
        <f t="shared" si="6"/>
        <v>0.93225636526650413</v>
      </c>
      <c r="L48">
        <f t="shared" si="7"/>
        <v>7.0147432092932074E-2</v>
      </c>
      <c r="M48">
        <f t="shared" si="8"/>
        <v>1</v>
      </c>
    </row>
    <row r="49" spans="1:13" x14ac:dyDescent="0.3">
      <c r="A49">
        <v>25</v>
      </c>
      <c r="B49">
        <v>34</v>
      </c>
      <c r="C49">
        <v>4</v>
      </c>
      <c r="D49">
        <v>10</v>
      </c>
      <c r="E49">
        <v>0</v>
      </c>
      <c r="F49">
        <f t="shared" si="1"/>
        <v>-1.5137851258793078</v>
      </c>
      <c r="G49">
        <f t="shared" si="2"/>
        <v>-1.5571822150197761</v>
      </c>
      <c r="H49">
        <f t="shared" si="3"/>
        <v>-0.6334448144335878</v>
      </c>
      <c r="I49">
        <f t="shared" si="4"/>
        <v>2.1467462202702694</v>
      </c>
      <c r="J49">
        <f t="shared" si="5"/>
        <v>-7.4335719381409486</v>
      </c>
      <c r="K49">
        <f t="shared" si="6"/>
        <v>5.9072330219366129E-4</v>
      </c>
      <c r="L49">
        <f t="shared" si="7"/>
        <v>5.9089784794576509E-4</v>
      </c>
      <c r="M49">
        <f t="shared" si="8"/>
        <v>0</v>
      </c>
    </row>
    <row r="50" spans="1:13" x14ac:dyDescent="0.3">
      <c r="A50">
        <v>47</v>
      </c>
      <c r="B50">
        <v>186</v>
      </c>
      <c r="C50">
        <v>8</v>
      </c>
      <c r="D50">
        <v>5</v>
      </c>
      <c r="E50">
        <v>1</v>
      </c>
      <c r="F50">
        <f t="shared" si="1"/>
        <v>0.62339897449088399</v>
      </c>
      <c r="G50">
        <f t="shared" si="2"/>
        <v>0.31052504873095021</v>
      </c>
      <c r="H50">
        <f t="shared" si="3"/>
        <v>0.78359469637340129</v>
      </c>
      <c r="I50">
        <f t="shared" si="4"/>
        <v>-0.17530735609656925</v>
      </c>
      <c r="J50">
        <f t="shared" si="5"/>
        <v>2.3772396491241778</v>
      </c>
      <c r="K50">
        <f t="shared" si="6"/>
        <v>0.9150751658420605</v>
      </c>
      <c r="L50">
        <f t="shared" si="7"/>
        <v>8.874906861934749E-2</v>
      </c>
      <c r="M50">
        <f t="shared" si="8"/>
        <v>1</v>
      </c>
    </row>
    <row r="51" spans="1:13" x14ac:dyDescent="0.3">
      <c r="A51">
        <v>35</v>
      </c>
      <c r="B51">
        <v>137</v>
      </c>
      <c r="C51">
        <v>1</v>
      </c>
      <c r="D51">
        <v>5</v>
      </c>
      <c r="E51">
        <v>0</v>
      </c>
      <c r="F51">
        <f t="shared" si="1"/>
        <v>-0.54233780752922067</v>
      </c>
      <c r="G51">
        <f t="shared" si="2"/>
        <v>-0.29156479287290232</v>
      </c>
      <c r="H51">
        <f t="shared" si="3"/>
        <v>-1.6962244475388295</v>
      </c>
      <c r="I51">
        <f t="shared" si="4"/>
        <v>-0.17530735609656925</v>
      </c>
      <c r="J51">
        <f t="shared" si="5"/>
        <v>-4.7836301430267341</v>
      </c>
      <c r="K51">
        <f t="shared" si="6"/>
        <v>8.2961732801799439E-3</v>
      </c>
      <c r="L51">
        <f t="shared" si="7"/>
        <v>8.3307780500789363E-3</v>
      </c>
      <c r="M51">
        <f t="shared" si="8"/>
        <v>0</v>
      </c>
    </row>
    <row r="52" spans="1:13" x14ac:dyDescent="0.3">
      <c r="A52">
        <v>26</v>
      </c>
      <c r="B52">
        <v>252</v>
      </c>
      <c r="C52">
        <v>9</v>
      </c>
      <c r="D52">
        <v>5</v>
      </c>
      <c r="E52">
        <v>1</v>
      </c>
      <c r="F52">
        <f t="shared" si="1"/>
        <v>-1.4166403940442991</v>
      </c>
      <c r="G52">
        <f t="shared" si="2"/>
        <v>1.1215032027279761</v>
      </c>
      <c r="H52">
        <f t="shared" si="3"/>
        <v>1.1378545740751487</v>
      </c>
      <c r="I52">
        <f t="shared" si="4"/>
        <v>-0.17530735609656925</v>
      </c>
      <c r="J52">
        <f t="shared" si="5"/>
        <v>2.7986646038243022</v>
      </c>
      <c r="K52">
        <f t="shared" si="6"/>
        <v>0.94260361913628188</v>
      </c>
      <c r="L52">
        <f t="shared" si="7"/>
        <v>5.9109424974859631E-2</v>
      </c>
      <c r="M52">
        <f t="shared" si="8"/>
        <v>1</v>
      </c>
    </row>
    <row r="53" spans="1:13" x14ac:dyDescent="0.3">
      <c r="A53">
        <v>23</v>
      </c>
      <c r="B53">
        <v>121</v>
      </c>
      <c r="C53">
        <v>2</v>
      </c>
      <c r="D53">
        <v>5</v>
      </c>
      <c r="E53">
        <v>0</v>
      </c>
      <c r="F53">
        <f t="shared" si="1"/>
        <v>-1.7080745895493252</v>
      </c>
      <c r="G53">
        <f t="shared" si="2"/>
        <v>-0.48816555747824192</v>
      </c>
      <c r="H53">
        <f t="shared" si="3"/>
        <v>-1.3419645698370823</v>
      </c>
      <c r="I53">
        <f t="shared" si="4"/>
        <v>-0.17530735609656925</v>
      </c>
      <c r="J53">
        <f t="shared" si="5"/>
        <v>-4.9057540640844115</v>
      </c>
      <c r="K53">
        <f t="shared" si="6"/>
        <v>7.3494437561171383E-3</v>
      </c>
      <c r="L53">
        <f t="shared" si="7"/>
        <v>7.3765839766585656E-3</v>
      </c>
      <c r="M53">
        <f t="shared" si="8"/>
        <v>0</v>
      </c>
    </row>
    <row r="54" spans="1:13" x14ac:dyDescent="0.3">
      <c r="A54">
        <v>42</v>
      </c>
      <c r="B54">
        <v>118</v>
      </c>
      <c r="C54">
        <v>1</v>
      </c>
      <c r="D54">
        <v>4</v>
      </c>
      <c r="E54">
        <v>0</v>
      </c>
      <c r="F54">
        <f t="shared" si="1"/>
        <v>0.1376753153158404</v>
      </c>
      <c r="G54">
        <f t="shared" si="2"/>
        <v>-0.52502820084174306</v>
      </c>
      <c r="H54">
        <f t="shared" si="3"/>
        <v>-1.6962244475388295</v>
      </c>
      <c r="I54">
        <f t="shared" si="4"/>
        <v>-0.63971807136993697</v>
      </c>
      <c r="J54">
        <f t="shared" si="5"/>
        <v>-3.9812842284929357</v>
      </c>
      <c r="K54">
        <f t="shared" si="6"/>
        <v>1.8319780626580788E-2</v>
      </c>
      <c r="L54">
        <f t="shared" si="7"/>
        <v>1.8489665846528766E-2</v>
      </c>
      <c r="M54">
        <f t="shared" si="8"/>
        <v>0</v>
      </c>
    </row>
    <row r="55" spans="1:13" x14ac:dyDescent="0.3">
      <c r="A55">
        <v>32</v>
      </c>
      <c r="B55">
        <v>236</v>
      </c>
      <c r="C55">
        <v>5</v>
      </c>
      <c r="D55">
        <v>8</v>
      </c>
      <c r="E55">
        <v>0</v>
      </c>
      <c r="F55">
        <f t="shared" si="1"/>
        <v>-0.83377200303424681</v>
      </c>
      <c r="G55">
        <f t="shared" si="2"/>
        <v>0.92490243812263651</v>
      </c>
      <c r="H55">
        <f t="shared" si="3"/>
        <v>-0.27918493673184053</v>
      </c>
      <c r="I55">
        <f t="shared" si="4"/>
        <v>1.2179247897235339</v>
      </c>
      <c r="J55">
        <f t="shared" si="5"/>
        <v>-2.2308655048880262</v>
      </c>
      <c r="K55">
        <f t="shared" si="6"/>
        <v>9.7012795172790975E-2</v>
      </c>
      <c r="L55">
        <f t="shared" si="7"/>
        <v>0.10204689529210977</v>
      </c>
      <c r="M55">
        <f t="shared" si="8"/>
        <v>0</v>
      </c>
    </row>
    <row r="56" spans="1:13" x14ac:dyDescent="0.3">
      <c r="A56">
        <v>28</v>
      </c>
      <c r="B56">
        <v>108</v>
      </c>
      <c r="C56">
        <v>8</v>
      </c>
      <c r="D56">
        <v>5</v>
      </c>
      <c r="E56">
        <v>1</v>
      </c>
      <c r="F56">
        <f t="shared" si="1"/>
        <v>-1.2223509303742817</v>
      </c>
      <c r="G56">
        <f t="shared" si="2"/>
        <v>-0.64790367872008037</v>
      </c>
      <c r="H56">
        <f t="shared" si="3"/>
        <v>0.78359469637340129</v>
      </c>
      <c r="I56">
        <f t="shared" si="4"/>
        <v>-0.17530735609656925</v>
      </c>
      <c r="J56">
        <f t="shared" si="5"/>
        <v>0.17544326116957837</v>
      </c>
      <c r="K56">
        <f t="shared" si="6"/>
        <v>0.54374865628273483</v>
      </c>
      <c r="L56">
        <f t="shared" si="7"/>
        <v>0.60926816778646242</v>
      </c>
      <c r="M56">
        <f t="shared" si="8"/>
        <v>1</v>
      </c>
    </row>
    <row r="57" spans="1:13" x14ac:dyDescent="0.3">
      <c r="A57">
        <v>54</v>
      </c>
      <c r="B57">
        <v>21</v>
      </c>
      <c r="C57">
        <v>6</v>
      </c>
      <c r="D57">
        <v>6</v>
      </c>
      <c r="E57">
        <v>0</v>
      </c>
      <c r="F57">
        <f t="shared" si="1"/>
        <v>1.3034120973359451</v>
      </c>
      <c r="G57">
        <f t="shared" si="2"/>
        <v>-1.7169203362616146</v>
      </c>
      <c r="H57">
        <f t="shared" si="3"/>
        <v>7.5074940969906773E-2</v>
      </c>
      <c r="I57">
        <f t="shared" si="4"/>
        <v>0.28910335917679852</v>
      </c>
      <c r="J57">
        <f t="shared" si="5"/>
        <v>-1.6731246530842852</v>
      </c>
      <c r="K57">
        <f t="shared" si="6"/>
        <v>0.15800802597883701</v>
      </c>
      <c r="L57">
        <f t="shared" si="7"/>
        <v>0.17198479682661463</v>
      </c>
      <c r="M57">
        <f t="shared" si="8"/>
        <v>0</v>
      </c>
    </row>
    <row r="58" spans="1:13" x14ac:dyDescent="0.3">
      <c r="A58">
        <v>52</v>
      </c>
      <c r="B58">
        <v>193</v>
      </c>
      <c r="C58">
        <v>6</v>
      </c>
      <c r="D58">
        <v>8</v>
      </c>
      <c r="E58">
        <v>1</v>
      </c>
      <c r="F58">
        <f t="shared" si="1"/>
        <v>1.1091226336659277</v>
      </c>
      <c r="G58">
        <f t="shared" si="2"/>
        <v>0.39653788324578632</v>
      </c>
      <c r="H58">
        <f t="shared" si="3"/>
        <v>7.5074940969906773E-2</v>
      </c>
      <c r="I58">
        <f t="shared" si="4"/>
        <v>1.2179247897235339</v>
      </c>
      <c r="J58">
        <f t="shared" si="5"/>
        <v>-0.75699888056310338</v>
      </c>
      <c r="K58">
        <f t="shared" si="6"/>
        <v>0.31929819605533594</v>
      </c>
      <c r="L58">
        <f t="shared" si="7"/>
        <v>1.141629828963123</v>
      </c>
      <c r="M58">
        <f t="shared" si="8"/>
        <v>0</v>
      </c>
    </row>
    <row r="59" spans="1:13" x14ac:dyDescent="0.3">
      <c r="A59">
        <v>28</v>
      </c>
      <c r="B59">
        <v>125</v>
      </c>
      <c r="C59">
        <v>2</v>
      </c>
      <c r="D59">
        <v>6</v>
      </c>
      <c r="E59">
        <v>0</v>
      </c>
      <c r="F59">
        <f t="shared" si="1"/>
        <v>-1.2223509303742817</v>
      </c>
      <c r="G59">
        <f t="shared" si="2"/>
        <v>-0.43901536632690702</v>
      </c>
      <c r="H59">
        <f t="shared" si="3"/>
        <v>-1.3419645698370823</v>
      </c>
      <c r="I59">
        <f t="shared" si="4"/>
        <v>0.28910335917679852</v>
      </c>
      <c r="J59">
        <f t="shared" si="5"/>
        <v>-5.1746256617716693</v>
      </c>
      <c r="K59">
        <f t="shared" si="6"/>
        <v>5.6264980397135542E-3</v>
      </c>
      <c r="L59">
        <f t="shared" si="7"/>
        <v>5.6423864050745608E-3</v>
      </c>
      <c r="M59">
        <f t="shared" si="8"/>
        <v>0</v>
      </c>
    </row>
    <row r="60" spans="1:13" x14ac:dyDescent="0.3">
      <c r="A60">
        <v>57</v>
      </c>
      <c r="B60">
        <v>279</v>
      </c>
      <c r="C60">
        <v>7</v>
      </c>
      <c r="D60">
        <v>3</v>
      </c>
      <c r="E60">
        <v>1</v>
      </c>
      <c r="F60">
        <f t="shared" si="1"/>
        <v>1.5948462928409712</v>
      </c>
      <c r="G60">
        <f t="shared" si="2"/>
        <v>1.4532669929994866</v>
      </c>
      <c r="H60">
        <f t="shared" si="3"/>
        <v>0.42933481867165407</v>
      </c>
      <c r="I60">
        <f t="shared" si="4"/>
        <v>-1.1041287866433047</v>
      </c>
      <c r="J60">
        <f t="shared" si="5"/>
        <v>4.6598543775738355</v>
      </c>
      <c r="K60">
        <f t="shared" si="6"/>
        <v>0.99062095824505203</v>
      </c>
      <c r="L60">
        <f t="shared" si="7"/>
        <v>9.4233019298096566E-3</v>
      </c>
      <c r="M60">
        <f t="shared" si="8"/>
        <v>1</v>
      </c>
    </row>
    <row r="61" spans="1:13" x14ac:dyDescent="0.3">
      <c r="A61">
        <v>52</v>
      </c>
      <c r="B61">
        <v>291</v>
      </c>
      <c r="C61">
        <v>10</v>
      </c>
      <c r="D61">
        <v>4</v>
      </c>
      <c r="E61">
        <v>1</v>
      </c>
      <c r="F61">
        <f t="shared" si="1"/>
        <v>1.1091226336659277</v>
      </c>
      <c r="G61">
        <f t="shared" si="2"/>
        <v>1.6007175664534914</v>
      </c>
      <c r="H61">
        <f t="shared" si="3"/>
        <v>1.4921144517768958</v>
      </c>
      <c r="I61">
        <f t="shared" si="4"/>
        <v>-0.63971807136993697</v>
      </c>
      <c r="J61">
        <f t="shared" si="5"/>
        <v>6.3608739204382374</v>
      </c>
      <c r="K61">
        <f t="shared" si="6"/>
        <v>0.99827512429377208</v>
      </c>
      <c r="L61">
        <f t="shared" si="7"/>
        <v>1.7263650171594478E-3</v>
      </c>
      <c r="M61">
        <f t="shared" si="8"/>
        <v>1</v>
      </c>
    </row>
    <row r="62" spans="1:13" x14ac:dyDescent="0.3">
      <c r="A62">
        <v>51</v>
      </c>
      <c r="B62">
        <v>206</v>
      </c>
      <c r="C62">
        <v>9</v>
      </c>
      <c r="D62">
        <v>2</v>
      </c>
      <c r="E62">
        <v>1</v>
      </c>
      <c r="F62">
        <f t="shared" si="1"/>
        <v>1.011977901830919</v>
      </c>
      <c r="G62">
        <f t="shared" si="2"/>
        <v>0.55627600448762471</v>
      </c>
      <c r="H62">
        <f t="shared" si="3"/>
        <v>1.1378545740751487</v>
      </c>
      <c r="I62">
        <f t="shared" si="4"/>
        <v>-1.5685395019166726</v>
      </c>
      <c r="J62">
        <f t="shared" si="5"/>
        <v>5.5969331100157671</v>
      </c>
      <c r="K62">
        <f t="shared" si="6"/>
        <v>0.99630448541805361</v>
      </c>
      <c r="L62">
        <f t="shared" si="7"/>
        <v>3.7023598657269633E-3</v>
      </c>
      <c r="M62">
        <f t="shared" si="8"/>
        <v>1</v>
      </c>
    </row>
    <row r="63" spans="1:13" x14ac:dyDescent="0.3">
      <c r="A63">
        <v>49</v>
      </c>
      <c r="B63">
        <v>270</v>
      </c>
      <c r="C63">
        <v>5</v>
      </c>
      <c r="D63">
        <v>8</v>
      </c>
      <c r="E63">
        <v>0</v>
      </c>
      <c r="F63">
        <f t="shared" si="1"/>
        <v>0.81768843816090142</v>
      </c>
      <c r="G63">
        <f t="shared" si="2"/>
        <v>1.3426790629089831</v>
      </c>
      <c r="H63">
        <f t="shared" si="3"/>
        <v>-0.27918493673184053</v>
      </c>
      <c r="I63">
        <f t="shared" si="4"/>
        <v>1.2179247897235339</v>
      </c>
      <c r="J63">
        <f t="shared" si="5"/>
        <v>-0.73819266240682524</v>
      </c>
      <c r="K63">
        <f t="shared" si="6"/>
        <v>0.32339948509007482</v>
      </c>
      <c r="L63">
        <f t="shared" si="7"/>
        <v>0.39067426161021224</v>
      </c>
      <c r="M63">
        <f t="shared" si="8"/>
        <v>0</v>
      </c>
    </row>
    <row r="64" spans="1:13" x14ac:dyDescent="0.3">
      <c r="A64">
        <v>42</v>
      </c>
      <c r="B64">
        <v>138</v>
      </c>
      <c r="C64">
        <v>10</v>
      </c>
      <c r="D64">
        <v>6</v>
      </c>
      <c r="E64">
        <v>1</v>
      </c>
      <c r="F64">
        <f t="shared" si="1"/>
        <v>0.1376753153158404</v>
      </c>
      <c r="G64">
        <f t="shared" si="2"/>
        <v>-0.27927724508506863</v>
      </c>
      <c r="H64">
        <f t="shared" si="3"/>
        <v>1.4921144517768958</v>
      </c>
      <c r="I64">
        <f t="shared" si="4"/>
        <v>0.28910335917679852</v>
      </c>
      <c r="J64">
        <f t="shared" si="5"/>
        <v>2.4531622263235864</v>
      </c>
      <c r="K64">
        <f t="shared" si="6"/>
        <v>0.92079239098939347</v>
      </c>
      <c r="L64">
        <f t="shared" si="7"/>
        <v>8.2520685086676537E-2</v>
      </c>
      <c r="M64">
        <f t="shared" si="8"/>
        <v>1</v>
      </c>
    </row>
    <row r="65" spans="1:13" x14ac:dyDescent="0.3">
      <c r="A65">
        <v>48</v>
      </c>
      <c r="B65">
        <v>273</v>
      </c>
      <c r="C65">
        <v>9</v>
      </c>
      <c r="D65">
        <v>6</v>
      </c>
      <c r="E65">
        <v>1</v>
      </c>
      <c r="F65">
        <f t="shared" si="1"/>
        <v>0.72054370632589271</v>
      </c>
      <c r="G65">
        <f t="shared" si="2"/>
        <v>1.3795417062724844</v>
      </c>
      <c r="H65">
        <f t="shared" si="3"/>
        <v>1.1378545740751487</v>
      </c>
      <c r="I65">
        <f t="shared" si="4"/>
        <v>0.28910335917679852</v>
      </c>
      <c r="J65">
        <f t="shared" si="5"/>
        <v>3.7957219839161116</v>
      </c>
      <c r="K65">
        <f t="shared" si="6"/>
        <v>0.97802698138552591</v>
      </c>
      <c r="L65">
        <f t="shared" si="7"/>
        <v>2.2218020999112065E-2</v>
      </c>
      <c r="M65">
        <f t="shared" si="8"/>
        <v>1</v>
      </c>
    </row>
    <row r="66" spans="1:13" x14ac:dyDescent="0.3">
      <c r="A66">
        <v>32</v>
      </c>
      <c r="B66">
        <v>265</v>
      </c>
      <c r="C66">
        <v>9</v>
      </c>
      <c r="D66">
        <v>4</v>
      </c>
      <c r="E66">
        <v>1</v>
      </c>
      <c r="F66">
        <f t="shared" si="1"/>
        <v>-0.83377200303424681</v>
      </c>
      <c r="G66">
        <f t="shared" si="2"/>
        <v>1.2812413239698146</v>
      </c>
      <c r="H66">
        <f t="shared" si="3"/>
        <v>1.1378545740751487</v>
      </c>
      <c r="I66">
        <f t="shared" si="4"/>
        <v>-0.63971807136993697</v>
      </c>
      <c r="J66">
        <f t="shared" si="5"/>
        <v>3.9666939629105338</v>
      </c>
      <c r="K66">
        <f t="shared" si="6"/>
        <v>0.98141597321865159</v>
      </c>
      <c r="L66">
        <f t="shared" si="7"/>
        <v>1.8758879507439249E-2</v>
      </c>
      <c r="M66">
        <f t="shared" si="8"/>
        <v>1</v>
      </c>
    </row>
    <row r="67" spans="1:13" x14ac:dyDescent="0.3">
      <c r="A67">
        <v>27</v>
      </c>
      <c r="B67">
        <v>49</v>
      </c>
      <c r="C67">
        <v>4</v>
      </c>
      <c r="D67">
        <v>3</v>
      </c>
      <c r="E67">
        <v>0</v>
      </c>
      <c r="F67">
        <f t="shared" ref="F67:F130" si="10">(A67-$S$2)/$S$3</f>
        <v>-1.3194956622092904</v>
      </c>
      <c r="G67">
        <f t="shared" ref="G67:G130" si="11">(B67-$T$2)/$T$3</f>
        <v>-1.3728689982022702</v>
      </c>
      <c r="H67">
        <f t="shared" ref="H67:H130" si="12">(C67-$U$2)/$U$3</f>
        <v>-0.6334448144335878</v>
      </c>
      <c r="I67">
        <f t="shared" ref="I67:I130" si="13">(D67-$V$2)/$V$3</f>
        <v>-1.1041287866433047</v>
      </c>
      <c r="J67">
        <f t="shared" ref="J67:J130" si="14">$T$8+$T$9*F67+$T$10*G67+$T$11*H67+$T$12*I67</f>
        <v>-2.7161863210337733</v>
      </c>
      <c r="K67">
        <f t="shared" ref="K67:K130" si="15">1/(1+EXP(-J67))</f>
        <v>6.2024967745446115E-2</v>
      </c>
      <c r="L67">
        <f t="shared" ref="L67:L130" si="16">IF(E67=1,-LN(K67),-LN(1-K67))</f>
        <v>6.4031948395686919E-2</v>
      </c>
      <c r="M67">
        <f t="shared" ref="M67:M130" si="17">IF(K67 &gt; 0.5, 1, 0)</f>
        <v>0</v>
      </c>
    </row>
    <row r="68" spans="1:13" x14ac:dyDescent="0.3">
      <c r="A68">
        <v>54</v>
      </c>
      <c r="B68">
        <v>110</v>
      </c>
      <c r="C68">
        <v>2</v>
      </c>
      <c r="D68">
        <v>5</v>
      </c>
      <c r="E68">
        <v>0</v>
      </c>
      <c r="F68">
        <f t="shared" si="10"/>
        <v>1.3034120973359451</v>
      </c>
      <c r="G68">
        <f t="shared" si="11"/>
        <v>-0.62332858314441297</v>
      </c>
      <c r="H68">
        <f t="shared" si="12"/>
        <v>-1.3419645698370823</v>
      </c>
      <c r="I68">
        <f t="shared" si="13"/>
        <v>-0.17530735609656925</v>
      </c>
      <c r="J68">
        <f t="shared" si="14"/>
        <v>-3.1574860644572689</v>
      </c>
      <c r="K68">
        <f t="shared" si="15"/>
        <v>4.0797317662551319E-2</v>
      </c>
      <c r="L68">
        <f t="shared" si="16"/>
        <v>4.1652878840873667E-2</v>
      </c>
      <c r="M68">
        <f t="shared" si="17"/>
        <v>0</v>
      </c>
    </row>
    <row r="69" spans="1:13" x14ac:dyDescent="0.3">
      <c r="A69">
        <v>33</v>
      </c>
      <c r="B69">
        <v>225</v>
      </c>
      <c r="C69">
        <v>3</v>
      </c>
      <c r="D69">
        <v>5</v>
      </c>
      <c r="E69">
        <v>0</v>
      </c>
      <c r="F69">
        <f t="shared" si="10"/>
        <v>-0.7366272711992381</v>
      </c>
      <c r="G69">
        <f t="shared" si="11"/>
        <v>0.78973941245646551</v>
      </c>
      <c r="H69">
        <f t="shared" si="12"/>
        <v>-0.98770469213533507</v>
      </c>
      <c r="I69">
        <f t="shared" si="13"/>
        <v>-0.17530735609656925</v>
      </c>
      <c r="J69">
        <f t="shared" si="14"/>
        <v>-2.0825052644392281</v>
      </c>
      <c r="K69">
        <f t="shared" si="15"/>
        <v>0.11080888153609683</v>
      </c>
      <c r="L69">
        <f t="shared" si="16"/>
        <v>0.11744308517420589</v>
      </c>
      <c r="M69">
        <f t="shared" si="17"/>
        <v>0</v>
      </c>
    </row>
    <row r="70" spans="1:13" x14ac:dyDescent="0.3">
      <c r="A70">
        <v>49</v>
      </c>
      <c r="B70">
        <v>26</v>
      </c>
      <c r="C70">
        <v>2</v>
      </c>
      <c r="D70">
        <v>8</v>
      </c>
      <c r="E70">
        <v>0</v>
      </c>
      <c r="F70">
        <f t="shared" si="10"/>
        <v>0.81768843816090142</v>
      </c>
      <c r="G70">
        <f t="shared" si="11"/>
        <v>-1.6554825973224458</v>
      </c>
      <c r="H70">
        <f t="shared" si="12"/>
        <v>-1.3419645698370823</v>
      </c>
      <c r="I70">
        <f t="shared" si="13"/>
        <v>1.2179247897235339</v>
      </c>
      <c r="J70">
        <f t="shared" si="14"/>
        <v>-6.4671075206333697</v>
      </c>
      <c r="K70">
        <f t="shared" si="15"/>
        <v>1.5513030431897289E-3</v>
      </c>
      <c r="L70">
        <f t="shared" si="16"/>
        <v>1.552507559630158E-3</v>
      </c>
      <c r="M70">
        <f t="shared" si="17"/>
        <v>0</v>
      </c>
    </row>
    <row r="71" spans="1:13" x14ac:dyDescent="0.3">
      <c r="A71">
        <v>42</v>
      </c>
      <c r="B71">
        <v>105</v>
      </c>
      <c r="C71">
        <v>3</v>
      </c>
      <c r="D71">
        <v>7</v>
      </c>
      <c r="E71">
        <v>0</v>
      </c>
      <c r="F71">
        <f t="shared" si="10"/>
        <v>0.1376753153158404</v>
      </c>
      <c r="G71">
        <f t="shared" si="11"/>
        <v>-0.68476632208358157</v>
      </c>
      <c r="H71">
        <f t="shared" si="12"/>
        <v>-0.98770469213533507</v>
      </c>
      <c r="I71">
        <f t="shared" si="13"/>
        <v>0.75351407445016627</v>
      </c>
      <c r="J71">
        <f t="shared" si="14"/>
        <v>-4.3886249183402235</v>
      </c>
      <c r="K71">
        <f t="shared" si="15"/>
        <v>1.2265482739814738E-2</v>
      </c>
      <c r="L71">
        <f t="shared" si="16"/>
        <v>1.2341324569057701E-2</v>
      </c>
      <c r="M71">
        <f t="shared" si="17"/>
        <v>0</v>
      </c>
    </row>
    <row r="72" spans="1:13" x14ac:dyDescent="0.3">
      <c r="A72">
        <v>24</v>
      </c>
      <c r="B72">
        <v>173</v>
      </c>
      <c r="C72">
        <v>3</v>
      </c>
      <c r="D72">
        <v>5</v>
      </c>
      <c r="E72">
        <v>0</v>
      </c>
      <c r="F72">
        <f t="shared" si="10"/>
        <v>-1.6109298577143165</v>
      </c>
      <c r="G72">
        <f t="shared" si="11"/>
        <v>0.15078692748911179</v>
      </c>
      <c r="H72">
        <f t="shared" si="12"/>
        <v>-0.98770469213533507</v>
      </c>
      <c r="I72">
        <f t="shared" si="13"/>
        <v>-0.17530735609656925</v>
      </c>
      <c r="J72">
        <f t="shared" si="14"/>
        <v>-3.326231557510015</v>
      </c>
      <c r="K72">
        <f t="shared" si="15"/>
        <v>3.4682174187365453E-2</v>
      </c>
      <c r="L72">
        <f t="shared" si="16"/>
        <v>3.5297878694287285E-2</v>
      </c>
      <c r="M72">
        <f t="shared" si="17"/>
        <v>0</v>
      </c>
    </row>
    <row r="73" spans="1:13" x14ac:dyDescent="0.3">
      <c r="A73">
        <v>52</v>
      </c>
      <c r="B73">
        <v>243</v>
      </c>
      <c r="C73">
        <v>5</v>
      </c>
      <c r="D73">
        <v>7</v>
      </c>
      <c r="E73">
        <v>1</v>
      </c>
      <c r="F73">
        <f t="shared" si="10"/>
        <v>1.1091226336659277</v>
      </c>
      <c r="G73">
        <f t="shared" si="11"/>
        <v>1.0109152726374726</v>
      </c>
      <c r="H73">
        <f t="shared" si="12"/>
        <v>-0.27918493673184053</v>
      </c>
      <c r="I73">
        <f t="shared" si="13"/>
        <v>0.75351407445016627</v>
      </c>
      <c r="J73">
        <f t="shared" si="14"/>
        <v>-0.28706388728036891</v>
      </c>
      <c r="K73">
        <f t="shared" si="15"/>
        <v>0.42872282753866897</v>
      </c>
      <c r="L73">
        <f t="shared" si="16"/>
        <v>0.84694465851343559</v>
      </c>
      <c r="M73">
        <f t="shared" si="17"/>
        <v>0</v>
      </c>
    </row>
    <row r="74" spans="1:13" x14ac:dyDescent="0.3">
      <c r="A74">
        <v>50</v>
      </c>
      <c r="B74">
        <v>184</v>
      </c>
      <c r="C74">
        <v>4</v>
      </c>
      <c r="D74">
        <v>8</v>
      </c>
      <c r="E74">
        <v>0</v>
      </c>
      <c r="F74">
        <f t="shared" si="10"/>
        <v>0.91483316999591013</v>
      </c>
      <c r="G74">
        <f t="shared" si="11"/>
        <v>0.28594995315528277</v>
      </c>
      <c r="H74">
        <f t="shared" si="12"/>
        <v>-0.6334448144335878</v>
      </c>
      <c r="I74">
        <f t="shared" si="13"/>
        <v>1.2179247897235339</v>
      </c>
      <c r="J74">
        <f t="shared" si="14"/>
        <v>-2.6489458262587924</v>
      </c>
      <c r="K74">
        <f t="shared" si="15"/>
        <v>6.6054012655050356E-2</v>
      </c>
      <c r="L74">
        <f t="shared" si="16"/>
        <v>6.8336671820607278E-2</v>
      </c>
      <c r="M74">
        <f t="shared" si="17"/>
        <v>0</v>
      </c>
    </row>
    <row r="75" spans="1:13" x14ac:dyDescent="0.3">
      <c r="A75">
        <v>49</v>
      </c>
      <c r="B75">
        <v>256</v>
      </c>
      <c r="C75">
        <v>6</v>
      </c>
      <c r="D75">
        <v>9</v>
      </c>
      <c r="E75">
        <v>0</v>
      </c>
      <c r="F75">
        <f t="shared" si="10"/>
        <v>0.81768843816090142</v>
      </c>
      <c r="G75">
        <f t="shared" si="11"/>
        <v>1.1706533938793109</v>
      </c>
      <c r="H75">
        <f t="shared" si="12"/>
        <v>7.5074940969906773E-2</v>
      </c>
      <c r="I75">
        <f t="shared" si="13"/>
        <v>1.6823355049969018</v>
      </c>
      <c r="J75">
        <f t="shared" si="14"/>
        <v>-0.72796417749680464</v>
      </c>
      <c r="K75">
        <f t="shared" si="15"/>
        <v>0.32564163354003922</v>
      </c>
      <c r="L75">
        <f t="shared" si="16"/>
        <v>0.39399360839354025</v>
      </c>
      <c r="M75">
        <f t="shared" si="17"/>
        <v>0</v>
      </c>
    </row>
    <row r="76" spans="1:13" x14ac:dyDescent="0.3">
      <c r="A76">
        <v>41</v>
      </c>
      <c r="B76">
        <v>246</v>
      </c>
      <c r="C76">
        <v>6</v>
      </c>
      <c r="D76">
        <v>3</v>
      </c>
      <c r="E76">
        <v>1</v>
      </c>
      <c r="F76">
        <f t="shared" si="10"/>
        <v>4.0530583480831682E-2</v>
      </c>
      <c r="G76">
        <f t="shared" si="11"/>
        <v>1.0477779160009737</v>
      </c>
      <c r="H76">
        <f t="shared" si="12"/>
        <v>7.5074940969906773E-2</v>
      </c>
      <c r="I76">
        <f t="shared" si="13"/>
        <v>-1.1041287866433047</v>
      </c>
      <c r="J76">
        <f t="shared" si="14"/>
        <v>2.4168234435398253</v>
      </c>
      <c r="K76">
        <f t="shared" si="15"/>
        <v>0.91810121188632077</v>
      </c>
      <c r="L76">
        <f t="shared" si="16"/>
        <v>8.5447641839539776E-2</v>
      </c>
      <c r="M76">
        <f t="shared" si="17"/>
        <v>1</v>
      </c>
    </row>
    <row r="77" spans="1:13" x14ac:dyDescent="0.3">
      <c r="A77">
        <v>38</v>
      </c>
      <c r="B77">
        <v>172</v>
      </c>
      <c r="C77">
        <v>7</v>
      </c>
      <c r="D77">
        <v>7</v>
      </c>
      <c r="E77">
        <v>0</v>
      </c>
      <c r="F77">
        <f t="shared" si="10"/>
        <v>-0.25090361202419448</v>
      </c>
      <c r="G77">
        <f t="shared" si="11"/>
        <v>0.13849937970127804</v>
      </c>
      <c r="H77">
        <f t="shared" si="12"/>
        <v>0.42933481867165407</v>
      </c>
      <c r="I77">
        <f t="shared" si="13"/>
        <v>0.75351407445016627</v>
      </c>
      <c r="J77">
        <f t="shared" si="14"/>
        <v>-0.44020347013771954</v>
      </c>
      <c r="K77">
        <f t="shared" si="15"/>
        <v>0.39169248746077795</v>
      </c>
      <c r="L77">
        <f t="shared" si="16"/>
        <v>0.4970747476754801</v>
      </c>
      <c r="M77">
        <f t="shared" si="17"/>
        <v>0</v>
      </c>
    </row>
    <row r="78" spans="1:13" x14ac:dyDescent="0.3">
      <c r="A78">
        <v>37</v>
      </c>
      <c r="B78">
        <v>196</v>
      </c>
      <c r="C78">
        <v>8</v>
      </c>
      <c r="D78">
        <v>7</v>
      </c>
      <c r="E78">
        <v>0</v>
      </c>
      <c r="F78">
        <f t="shared" si="10"/>
        <v>-0.34804834385920319</v>
      </c>
      <c r="G78">
        <f t="shared" si="11"/>
        <v>0.43340052660928746</v>
      </c>
      <c r="H78">
        <f t="shared" si="12"/>
        <v>0.78359469637340129</v>
      </c>
      <c r="I78">
        <f t="shared" si="13"/>
        <v>0.75351407445016627</v>
      </c>
      <c r="J78">
        <f t="shared" si="14"/>
        <v>0.64360148127116923</v>
      </c>
      <c r="K78">
        <f t="shared" si="15"/>
        <v>0.65556712599971323</v>
      </c>
      <c r="L78">
        <f t="shared" si="16"/>
        <v>1.0658560580214003</v>
      </c>
      <c r="M78">
        <f t="shared" si="17"/>
        <v>1</v>
      </c>
    </row>
    <row r="79" spans="1:13" x14ac:dyDescent="0.3">
      <c r="A79">
        <v>51</v>
      </c>
      <c r="B79">
        <v>177</v>
      </c>
      <c r="C79">
        <v>9</v>
      </c>
      <c r="D79">
        <v>3</v>
      </c>
      <c r="E79">
        <v>1</v>
      </c>
      <c r="F79">
        <f t="shared" si="10"/>
        <v>1.011977901830919</v>
      </c>
      <c r="G79">
        <f t="shared" si="11"/>
        <v>0.19993711864044669</v>
      </c>
      <c r="H79">
        <f t="shared" si="12"/>
        <v>1.1378545740751487</v>
      </c>
      <c r="I79">
        <f t="shared" si="13"/>
        <v>-1.1041287866433047</v>
      </c>
      <c r="J79">
        <f t="shared" si="14"/>
        <v>4.5822689770017382</v>
      </c>
      <c r="K79">
        <f t="shared" si="15"/>
        <v>0.98987197193442245</v>
      </c>
      <c r="L79">
        <f t="shared" si="16"/>
        <v>1.0179665494580119E-2</v>
      </c>
      <c r="M79">
        <f t="shared" si="17"/>
        <v>1</v>
      </c>
    </row>
    <row r="80" spans="1:13" x14ac:dyDescent="0.3">
      <c r="A80">
        <v>26</v>
      </c>
      <c r="B80">
        <v>216</v>
      </c>
      <c r="C80">
        <v>4</v>
      </c>
      <c r="D80">
        <v>9</v>
      </c>
      <c r="E80">
        <v>0</v>
      </c>
      <c r="F80">
        <f t="shared" si="10"/>
        <v>-1.4166403940442991</v>
      </c>
      <c r="G80">
        <f t="shared" si="11"/>
        <v>0.67915148236596201</v>
      </c>
      <c r="H80">
        <f t="shared" si="12"/>
        <v>-0.6334448144335878</v>
      </c>
      <c r="I80">
        <f t="shared" si="13"/>
        <v>1.6823355049969018</v>
      </c>
      <c r="J80">
        <f t="shared" si="14"/>
        <v>-4.3170844867443607</v>
      </c>
      <c r="K80">
        <f t="shared" si="15"/>
        <v>1.3163136765699491E-2</v>
      </c>
      <c r="L80">
        <f t="shared" si="16"/>
        <v>1.325053868670441E-2</v>
      </c>
      <c r="M80">
        <f t="shared" si="17"/>
        <v>0</v>
      </c>
    </row>
    <row r="81" spans="1:13" x14ac:dyDescent="0.3">
      <c r="A81">
        <v>50</v>
      </c>
      <c r="B81">
        <v>85</v>
      </c>
      <c r="C81">
        <v>9</v>
      </c>
      <c r="D81">
        <v>5</v>
      </c>
      <c r="E81">
        <v>1</v>
      </c>
      <c r="F81">
        <f t="shared" si="10"/>
        <v>0.91483316999591013</v>
      </c>
      <c r="G81">
        <f t="shared" si="11"/>
        <v>-0.93051727784025606</v>
      </c>
      <c r="H81">
        <f t="shared" si="12"/>
        <v>1.1378545740751487</v>
      </c>
      <c r="I81">
        <f t="shared" si="13"/>
        <v>-0.17530735609656925</v>
      </c>
      <c r="J81">
        <f t="shared" si="14"/>
        <v>2.0383244455060634</v>
      </c>
      <c r="K81">
        <f t="shared" si="15"/>
        <v>0.88476254223297923</v>
      </c>
      <c r="L81">
        <f t="shared" si="16"/>
        <v>0.12243598383785211</v>
      </c>
      <c r="M81">
        <f t="shared" si="17"/>
        <v>1</v>
      </c>
    </row>
    <row r="82" spans="1:13" x14ac:dyDescent="0.3">
      <c r="A82">
        <v>53</v>
      </c>
      <c r="B82">
        <v>262</v>
      </c>
      <c r="C82">
        <v>9</v>
      </c>
      <c r="D82">
        <v>5</v>
      </c>
      <c r="E82">
        <v>1</v>
      </c>
      <c r="F82">
        <f t="shared" si="10"/>
        <v>1.2062673655009364</v>
      </c>
      <c r="G82">
        <f t="shared" si="11"/>
        <v>1.2443786806063133</v>
      </c>
      <c r="H82">
        <f t="shared" si="12"/>
        <v>1.1378545740751487</v>
      </c>
      <c r="I82">
        <f t="shared" si="13"/>
        <v>-0.17530735609656925</v>
      </c>
      <c r="J82">
        <f t="shared" si="14"/>
        <v>4.582513821477157</v>
      </c>
      <c r="K82">
        <f t="shared" si="15"/>
        <v>0.98987442631634415</v>
      </c>
      <c r="L82">
        <f t="shared" si="16"/>
        <v>1.0177186003344401E-2</v>
      </c>
      <c r="M82">
        <f t="shared" si="17"/>
        <v>1</v>
      </c>
    </row>
    <row r="83" spans="1:13" x14ac:dyDescent="0.3">
      <c r="A83">
        <v>53</v>
      </c>
      <c r="B83">
        <v>137</v>
      </c>
      <c r="C83">
        <v>3</v>
      </c>
      <c r="D83">
        <v>10</v>
      </c>
      <c r="E83">
        <v>0</v>
      </c>
      <c r="F83">
        <f t="shared" si="10"/>
        <v>1.2062673655009364</v>
      </c>
      <c r="G83">
        <f t="shared" si="11"/>
        <v>-0.29156479287290232</v>
      </c>
      <c r="H83">
        <f t="shared" si="12"/>
        <v>-0.98770469213533507</v>
      </c>
      <c r="I83">
        <f t="shared" si="13"/>
        <v>2.1467462202702694</v>
      </c>
      <c r="J83">
        <f t="shared" si="14"/>
        <v>-5.1729963677705282</v>
      </c>
      <c r="K83">
        <f t="shared" si="15"/>
        <v>5.6356210262375576E-3</v>
      </c>
      <c r="L83">
        <f t="shared" si="16"/>
        <v>5.6515610545962774E-3</v>
      </c>
      <c r="M83">
        <f t="shared" si="17"/>
        <v>0</v>
      </c>
    </row>
    <row r="84" spans="1:13" x14ac:dyDescent="0.3">
      <c r="A84">
        <v>57</v>
      </c>
      <c r="B84">
        <v>44</v>
      </c>
      <c r="C84">
        <v>5</v>
      </c>
      <c r="D84">
        <v>8</v>
      </c>
      <c r="E84">
        <v>0</v>
      </c>
      <c r="F84">
        <f t="shared" si="10"/>
        <v>1.5948462928409712</v>
      </c>
      <c r="G84">
        <f t="shared" si="11"/>
        <v>-1.4343067371414389</v>
      </c>
      <c r="H84">
        <f t="shared" si="12"/>
        <v>-0.27918493673184053</v>
      </c>
      <c r="I84">
        <f t="shared" si="13"/>
        <v>1.2179247897235339</v>
      </c>
      <c r="J84">
        <f t="shared" si="14"/>
        <v>-3.2635239869989965</v>
      </c>
      <c r="K84">
        <f t="shared" si="15"/>
        <v>3.6843951111070541E-2</v>
      </c>
      <c r="L84">
        <f t="shared" si="16"/>
        <v>3.7539835775018543E-2</v>
      </c>
      <c r="M84">
        <f t="shared" si="17"/>
        <v>0</v>
      </c>
    </row>
    <row r="85" spans="1:13" x14ac:dyDescent="0.3">
      <c r="A85">
        <v>51</v>
      </c>
      <c r="B85">
        <v>153</v>
      </c>
      <c r="C85">
        <v>7</v>
      </c>
      <c r="D85">
        <v>6</v>
      </c>
      <c r="E85">
        <v>1</v>
      </c>
      <c r="F85">
        <f t="shared" si="10"/>
        <v>1.011977901830919</v>
      </c>
      <c r="G85">
        <f t="shared" si="11"/>
        <v>-9.4964028267562728E-2</v>
      </c>
      <c r="H85">
        <f t="shared" si="12"/>
        <v>0.42933481867165407</v>
      </c>
      <c r="I85">
        <f t="shared" si="13"/>
        <v>0.28910335917679852</v>
      </c>
      <c r="J85">
        <f t="shared" si="14"/>
        <v>0.7289136607761717</v>
      </c>
      <c r="K85">
        <f t="shared" si="15"/>
        <v>0.67456683766244396</v>
      </c>
      <c r="L85">
        <f t="shared" si="16"/>
        <v>0.39368451608285349</v>
      </c>
      <c r="M85">
        <f t="shared" si="17"/>
        <v>1</v>
      </c>
    </row>
    <row r="86" spans="1:13" x14ac:dyDescent="0.3">
      <c r="A86">
        <v>57</v>
      </c>
      <c r="B86">
        <v>162</v>
      </c>
      <c r="C86">
        <v>9</v>
      </c>
      <c r="D86">
        <v>6</v>
      </c>
      <c r="E86">
        <v>1</v>
      </c>
      <c r="F86">
        <f t="shared" si="10"/>
        <v>1.5948462928409712</v>
      </c>
      <c r="G86">
        <f t="shared" si="11"/>
        <v>1.5623901822940801E-2</v>
      </c>
      <c r="H86">
        <f t="shared" si="12"/>
        <v>1.1378545740751487</v>
      </c>
      <c r="I86">
        <f t="shared" si="13"/>
        <v>0.28910335917679852</v>
      </c>
      <c r="J86">
        <f t="shared" si="14"/>
        <v>2.8653747507252572</v>
      </c>
      <c r="K86">
        <f t="shared" si="15"/>
        <v>0.94610800342527057</v>
      </c>
      <c r="L86">
        <f t="shared" si="16"/>
        <v>5.5398547921332905E-2</v>
      </c>
      <c r="M86">
        <f t="shared" si="17"/>
        <v>1</v>
      </c>
    </row>
    <row r="87" spans="1:13" x14ac:dyDescent="0.3">
      <c r="A87">
        <v>44</v>
      </c>
      <c r="B87">
        <v>88</v>
      </c>
      <c r="C87">
        <v>6</v>
      </c>
      <c r="D87">
        <v>6</v>
      </c>
      <c r="E87">
        <v>1</v>
      </c>
      <c r="F87">
        <f t="shared" si="10"/>
        <v>0.33196477898585786</v>
      </c>
      <c r="G87">
        <f t="shared" si="11"/>
        <v>-0.89365463447675486</v>
      </c>
      <c r="H87">
        <f t="shared" si="12"/>
        <v>7.5074940969906773E-2</v>
      </c>
      <c r="I87">
        <f t="shared" si="13"/>
        <v>0.28910335917679852</v>
      </c>
      <c r="J87">
        <f t="shared" si="14"/>
        <v>-1.3907724293034802</v>
      </c>
      <c r="K87">
        <f t="shared" si="15"/>
        <v>0.1992844715419054</v>
      </c>
      <c r="L87">
        <f t="shared" si="16"/>
        <v>1.6130219697918671</v>
      </c>
      <c r="M87">
        <f t="shared" si="17"/>
        <v>0</v>
      </c>
    </row>
    <row r="88" spans="1:13" x14ac:dyDescent="0.3">
      <c r="A88">
        <v>23</v>
      </c>
      <c r="B88">
        <v>280</v>
      </c>
      <c r="C88">
        <v>9</v>
      </c>
      <c r="D88">
        <v>3</v>
      </c>
      <c r="E88">
        <v>1</v>
      </c>
      <c r="F88">
        <f t="shared" si="10"/>
        <v>-1.7080745895493252</v>
      </c>
      <c r="G88">
        <f t="shared" si="11"/>
        <v>1.4655545407873205</v>
      </c>
      <c r="H88">
        <f t="shared" si="12"/>
        <v>1.1378545740751487</v>
      </c>
      <c r="I88">
        <f t="shared" si="13"/>
        <v>-1.1041287866433047</v>
      </c>
      <c r="J88">
        <f t="shared" si="14"/>
        <v>4.244471029835017</v>
      </c>
      <c r="K88">
        <f t="shared" si="15"/>
        <v>0.98585950279977641</v>
      </c>
      <c r="L88">
        <f t="shared" si="16"/>
        <v>1.4241426621940164E-2</v>
      </c>
      <c r="M88">
        <f t="shared" si="17"/>
        <v>1</v>
      </c>
    </row>
    <row r="89" spans="1:13" x14ac:dyDescent="0.3">
      <c r="A89">
        <v>33</v>
      </c>
      <c r="B89">
        <v>50</v>
      </c>
      <c r="C89">
        <v>7</v>
      </c>
      <c r="D89">
        <v>7</v>
      </c>
      <c r="E89">
        <v>0</v>
      </c>
      <c r="F89">
        <f t="shared" si="10"/>
        <v>-0.7366272711992381</v>
      </c>
      <c r="G89">
        <f t="shared" si="11"/>
        <v>-1.3605814504144365</v>
      </c>
      <c r="H89">
        <f t="shared" si="12"/>
        <v>0.42933481867165407</v>
      </c>
      <c r="I89">
        <f t="shared" si="13"/>
        <v>0.75351407445016627</v>
      </c>
      <c r="J89">
        <f t="shared" si="14"/>
        <v>-2.3730668265521349</v>
      </c>
      <c r="K89">
        <f t="shared" si="15"/>
        <v>8.5249677245559305E-2</v>
      </c>
      <c r="L89">
        <f t="shared" si="16"/>
        <v>8.9104122249386866E-2</v>
      </c>
      <c r="M89">
        <f t="shared" si="17"/>
        <v>0</v>
      </c>
    </row>
    <row r="90" spans="1:13" x14ac:dyDescent="0.3">
      <c r="A90">
        <v>43</v>
      </c>
      <c r="B90">
        <v>260</v>
      </c>
      <c r="C90">
        <v>4</v>
      </c>
      <c r="D90">
        <v>6</v>
      </c>
      <c r="E90">
        <v>0</v>
      </c>
      <c r="F90">
        <f t="shared" si="10"/>
        <v>0.23482004715084911</v>
      </c>
      <c r="G90">
        <f t="shared" si="11"/>
        <v>1.2198035850306459</v>
      </c>
      <c r="H90">
        <f t="shared" si="12"/>
        <v>-0.6334448144335878</v>
      </c>
      <c r="I90">
        <f t="shared" si="13"/>
        <v>0.28910335917679852</v>
      </c>
      <c r="J90">
        <f t="shared" si="14"/>
        <v>-0.80743557357780094</v>
      </c>
      <c r="K90">
        <f t="shared" si="15"/>
        <v>0.30843722847280036</v>
      </c>
      <c r="L90">
        <f t="shared" si="16"/>
        <v>0.3688013561082692</v>
      </c>
      <c r="M90">
        <f t="shared" si="17"/>
        <v>0</v>
      </c>
    </row>
    <row r="91" spans="1:13" x14ac:dyDescent="0.3">
      <c r="A91">
        <v>56</v>
      </c>
      <c r="B91">
        <v>214</v>
      </c>
      <c r="C91">
        <v>2</v>
      </c>
      <c r="D91">
        <v>2</v>
      </c>
      <c r="E91">
        <v>1</v>
      </c>
      <c r="F91">
        <f t="shared" si="10"/>
        <v>1.4977015610059625</v>
      </c>
      <c r="G91">
        <f t="shared" si="11"/>
        <v>0.65457638679029451</v>
      </c>
      <c r="H91">
        <f t="shared" si="12"/>
        <v>-1.3419645698370823</v>
      </c>
      <c r="I91">
        <f t="shared" si="13"/>
        <v>-1.5685395019166726</v>
      </c>
      <c r="J91">
        <f t="shared" si="14"/>
        <v>0.23550727141364924</v>
      </c>
      <c r="K91">
        <f t="shared" si="15"/>
        <v>0.55860619168953063</v>
      </c>
      <c r="L91">
        <f t="shared" si="16"/>
        <v>0.58231054123329551</v>
      </c>
      <c r="M91">
        <f t="shared" si="17"/>
        <v>1</v>
      </c>
    </row>
    <row r="92" spans="1:13" x14ac:dyDescent="0.3">
      <c r="A92">
        <v>23</v>
      </c>
      <c r="B92">
        <v>65</v>
      </c>
      <c r="C92">
        <v>3</v>
      </c>
      <c r="D92">
        <v>6</v>
      </c>
      <c r="E92">
        <v>0</v>
      </c>
      <c r="F92">
        <f t="shared" si="10"/>
        <v>-1.7080745895493252</v>
      </c>
      <c r="G92">
        <f t="shared" si="11"/>
        <v>-1.1762682335969306</v>
      </c>
      <c r="H92">
        <f t="shared" si="12"/>
        <v>-0.98770469213533507</v>
      </c>
      <c r="I92">
        <f t="shared" si="13"/>
        <v>0.28910335917679852</v>
      </c>
      <c r="J92">
        <f t="shared" si="14"/>
        <v>-5.4557163037326051</v>
      </c>
      <c r="K92">
        <f t="shared" si="15"/>
        <v>4.2536449802581854E-3</v>
      </c>
      <c r="L92">
        <f t="shared" si="16"/>
        <v>4.2627174646259385E-3</v>
      </c>
      <c r="M92">
        <f t="shared" si="17"/>
        <v>0</v>
      </c>
    </row>
    <row r="93" spans="1:13" x14ac:dyDescent="0.3">
      <c r="A93">
        <v>32</v>
      </c>
      <c r="B93">
        <v>202</v>
      </c>
      <c r="C93">
        <v>8</v>
      </c>
      <c r="D93">
        <v>8</v>
      </c>
      <c r="E93">
        <v>0</v>
      </c>
      <c r="F93">
        <f t="shared" si="10"/>
        <v>-0.83377200303424681</v>
      </c>
      <c r="G93">
        <f t="shared" si="11"/>
        <v>0.50712581333628981</v>
      </c>
      <c r="H93">
        <f t="shared" si="12"/>
        <v>0.78359469637340129</v>
      </c>
      <c r="I93">
        <f t="shared" si="13"/>
        <v>1.2179247897235339</v>
      </c>
      <c r="J93">
        <f t="shared" si="14"/>
        <v>-0.20987972826109202</v>
      </c>
      <c r="K93">
        <f t="shared" si="15"/>
        <v>0.44772182946986105</v>
      </c>
      <c r="L93">
        <f t="shared" si="16"/>
        <v>0.59370342751637417</v>
      </c>
      <c r="M93">
        <f t="shared" si="17"/>
        <v>0</v>
      </c>
    </row>
    <row r="94" spans="1:13" x14ac:dyDescent="0.3">
      <c r="A94">
        <v>55</v>
      </c>
      <c r="B94">
        <v>137</v>
      </c>
      <c r="C94">
        <v>8</v>
      </c>
      <c r="D94">
        <v>2</v>
      </c>
      <c r="E94">
        <v>1</v>
      </c>
      <c r="F94">
        <f t="shared" si="10"/>
        <v>1.4005568291709538</v>
      </c>
      <c r="G94">
        <f t="shared" si="11"/>
        <v>-0.29156479287290232</v>
      </c>
      <c r="H94">
        <f t="shared" si="12"/>
        <v>0.78359469637340129</v>
      </c>
      <c r="I94">
        <f t="shared" si="13"/>
        <v>-1.5685395019166726</v>
      </c>
      <c r="J94">
        <f t="shared" si="14"/>
        <v>4.0963094190559808</v>
      </c>
      <c r="K94">
        <f t="shared" si="15"/>
        <v>0.9836382100123684</v>
      </c>
      <c r="L94">
        <f t="shared" si="16"/>
        <v>1.6497122289740221E-2</v>
      </c>
      <c r="M94">
        <f t="shared" si="17"/>
        <v>1</v>
      </c>
    </row>
    <row r="95" spans="1:13" x14ac:dyDescent="0.3">
      <c r="A95">
        <v>26</v>
      </c>
      <c r="B95">
        <v>223</v>
      </c>
      <c r="C95">
        <v>3</v>
      </c>
      <c r="D95">
        <v>5</v>
      </c>
      <c r="E95">
        <v>0</v>
      </c>
      <c r="F95">
        <f t="shared" si="10"/>
        <v>-1.4166403940442991</v>
      </c>
      <c r="G95">
        <f t="shared" si="11"/>
        <v>0.765164316880798</v>
      </c>
      <c r="H95">
        <f t="shared" si="12"/>
        <v>-0.98770469213533507</v>
      </c>
      <c r="I95">
        <f t="shared" si="13"/>
        <v>-0.17530735609656925</v>
      </c>
      <c r="J95">
        <f t="shared" si="14"/>
        <v>-2.5370807656711576</v>
      </c>
      <c r="K95">
        <f t="shared" si="15"/>
        <v>7.3299219795000273E-2</v>
      </c>
      <c r="L95">
        <f t="shared" si="16"/>
        <v>7.6124548472289166E-2</v>
      </c>
      <c r="M95">
        <f t="shared" si="17"/>
        <v>0</v>
      </c>
    </row>
    <row r="96" spans="1:13" x14ac:dyDescent="0.3">
      <c r="A96">
        <v>39</v>
      </c>
      <c r="B96">
        <v>82</v>
      </c>
      <c r="C96">
        <v>4</v>
      </c>
      <c r="D96">
        <v>2</v>
      </c>
      <c r="E96">
        <v>1</v>
      </c>
      <c r="F96">
        <f t="shared" si="10"/>
        <v>-0.15375888018918576</v>
      </c>
      <c r="G96">
        <f t="shared" si="11"/>
        <v>-0.96737992120375726</v>
      </c>
      <c r="H96">
        <f t="shared" si="12"/>
        <v>-0.6334448144335878</v>
      </c>
      <c r="I96">
        <f t="shared" si="13"/>
        <v>-1.5685395019166726</v>
      </c>
      <c r="J96">
        <f t="shared" si="14"/>
        <v>-0.91462825768258371</v>
      </c>
      <c r="K96">
        <f t="shared" si="15"/>
        <v>0.28605368699320344</v>
      </c>
      <c r="L96">
        <f t="shared" si="16"/>
        <v>1.2515757690194182</v>
      </c>
      <c r="M96">
        <f t="shared" si="17"/>
        <v>0</v>
      </c>
    </row>
    <row r="97" spans="1:13" x14ac:dyDescent="0.3">
      <c r="A97">
        <v>54</v>
      </c>
      <c r="B97">
        <v>292</v>
      </c>
      <c r="C97">
        <v>9</v>
      </c>
      <c r="D97">
        <v>3</v>
      </c>
      <c r="E97">
        <v>1</v>
      </c>
      <c r="F97">
        <f t="shared" si="10"/>
        <v>1.3034120973359451</v>
      </c>
      <c r="G97">
        <f t="shared" si="11"/>
        <v>1.6130051142413251</v>
      </c>
      <c r="H97">
        <f t="shared" si="12"/>
        <v>1.1378545740751487</v>
      </c>
      <c r="I97">
        <f t="shared" si="13"/>
        <v>-1.1041287866433047</v>
      </c>
      <c r="J97">
        <f t="shared" si="14"/>
        <v>6.2995101405297538</v>
      </c>
      <c r="K97">
        <f t="shared" si="15"/>
        <v>0.9981661646020259</v>
      </c>
      <c r="L97">
        <f t="shared" si="16"/>
        <v>1.8355189326393546E-3</v>
      </c>
      <c r="M97">
        <f t="shared" si="17"/>
        <v>1</v>
      </c>
    </row>
    <row r="98" spans="1:13" x14ac:dyDescent="0.3">
      <c r="A98">
        <v>38</v>
      </c>
      <c r="B98">
        <v>180</v>
      </c>
      <c r="C98">
        <v>4</v>
      </c>
      <c r="D98">
        <v>1</v>
      </c>
      <c r="E98">
        <v>1</v>
      </c>
      <c r="F98">
        <f t="shared" si="10"/>
        <v>-0.25090361202419448</v>
      </c>
      <c r="G98">
        <f t="shared" si="11"/>
        <v>0.23679976200394787</v>
      </c>
      <c r="H98">
        <f t="shared" si="12"/>
        <v>-0.6334448144335878</v>
      </c>
      <c r="I98">
        <f t="shared" si="13"/>
        <v>-2.0329502171900402</v>
      </c>
      <c r="J98">
        <f t="shared" si="14"/>
        <v>0.9592206724708765</v>
      </c>
      <c r="K98">
        <f t="shared" si="15"/>
        <v>0.72296574364055488</v>
      </c>
      <c r="L98">
        <f t="shared" si="16"/>
        <v>0.3243934388026512</v>
      </c>
      <c r="M98">
        <f t="shared" si="17"/>
        <v>1</v>
      </c>
    </row>
    <row r="99" spans="1:13" x14ac:dyDescent="0.3">
      <c r="A99">
        <v>31</v>
      </c>
      <c r="B99">
        <v>231</v>
      </c>
      <c r="C99">
        <v>2</v>
      </c>
      <c r="D99">
        <v>6</v>
      </c>
      <c r="E99">
        <v>0</v>
      </c>
      <c r="F99">
        <f t="shared" si="10"/>
        <v>-0.93091673486925552</v>
      </c>
      <c r="G99">
        <f t="shared" si="11"/>
        <v>0.8634646991834678</v>
      </c>
      <c r="H99">
        <f t="shared" si="12"/>
        <v>-1.3419645698370823</v>
      </c>
      <c r="I99">
        <f t="shared" si="13"/>
        <v>0.28910335917679852</v>
      </c>
      <c r="J99">
        <f t="shared" si="14"/>
        <v>-3.5774253677918431</v>
      </c>
      <c r="K99">
        <f t="shared" si="15"/>
        <v>2.7187729678198793E-2</v>
      </c>
      <c r="L99">
        <f t="shared" si="16"/>
        <v>2.7564154443326033E-2</v>
      </c>
      <c r="M99">
        <f t="shared" si="17"/>
        <v>0</v>
      </c>
    </row>
    <row r="100" spans="1:13" x14ac:dyDescent="0.3">
      <c r="A100">
        <v>30</v>
      </c>
      <c r="B100">
        <v>110</v>
      </c>
      <c r="C100">
        <v>5</v>
      </c>
      <c r="D100">
        <v>1</v>
      </c>
      <c r="E100">
        <v>1</v>
      </c>
      <c r="F100">
        <f t="shared" si="10"/>
        <v>-1.0280614667042642</v>
      </c>
      <c r="G100">
        <f t="shared" si="11"/>
        <v>-0.62332858314441297</v>
      </c>
      <c r="H100">
        <f t="shared" si="12"/>
        <v>-0.27918493673184053</v>
      </c>
      <c r="I100">
        <f t="shared" si="13"/>
        <v>-2.0329502171900402</v>
      </c>
      <c r="J100">
        <f t="shared" si="14"/>
        <v>0.36136567837746192</v>
      </c>
      <c r="K100">
        <f t="shared" si="15"/>
        <v>0.58937098603653149</v>
      </c>
      <c r="L100">
        <f t="shared" si="16"/>
        <v>0.52869943616007742</v>
      </c>
      <c r="M100">
        <f t="shared" si="17"/>
        <v>1</v>
      </c>
    </row>
    <row r="101" spans="1:13" x14ac:dyDescent="0.3">
      <c r="A101">
        <v>32</v>
      </c>
      <c r="B101">
        <v>285</v>
      </c>
      <c r="C101">
        <v>3</v>
      </c>
      <c r="D101">
        <v>4</v>
      </c>
      <c r="E101">
        <v>0</v>
      </c>
      <c r="F101">
        <f t="shared" si="10"/>
        <v>-0.83377200303424681</v>
      </c>
      <c r="G101">
        <f t="shared" si="11"/>
        <v>1.526992279726489</v>
      </c>
      <c r="H101">
        <f t="shared" si="12"/>
        <v>-0.98770469213533507</v>
      </c>
      <c r="I101">
        <f t="shared" si="13"/>
        <v>-0.63971807136993697</v>
      </c>
      <c r="J101">
        <f t="shared" si="14"/>
        <v>-0.71549556126700953</v>
      </c>
      <c r="K101">
        <f t="shared" si="15"/>
        <v>0.32838566117760654</v>
      </c>
      <c r="L101">
        <f t="shared" si="16"/>
        <v>0.39807100376486365</v>
      </c>
      <c r="M101">
        <f t="shared" si="17"/>
        <v>0</v>
      </c>
    </row>
    <row r="102" spans="1:13" x14ac:dyDescent="0.3">
      <c r="A102">
        <v>39</v>
      </c>
      <c r="B102">
        <v>225</v>
      </c>
      <c r="C102">
        <v>9</v>
      </c>
      <c r="D102">
        <v>9</v>
      </c>
      <c r="E102">
        <v>1</v>
      </c>
      <c r="F102">
        <f t="shared" si="10"/>
        <v>-0.15375888018918576</v>
      </c>
      <c r="G102">
        <f t="shared" si="11"/>
        <v>0.78973941245646551</v>
      </c>
      <c r="H102">
        <f t="shared" si="12"/>
        <v>1.1378545740751487</v>
      </c>
      <c r="I102">
        <f t="shared" si="13"/>
        <v>1.6823355049969018</v>
      </c>
      <c r="J102">
        <f t="shared" si="14"/>
        <v>0.7217498616793705</v>
      </c>
      <c r="K102">
        <f t="shared" si="15"/>
        <v>0.67299223209149228</v>
      </c>
      <c r="L102">
        <f t="shared" si="16"/>
        <v>0.39602149161577105</v>
      </c>
      <c r="M102">
        <f t="shared" si="17"/>
        <v>1</v>
      </c>
    </row>
    <row r="103" spans="1:13" x14ac:dyDescent="0.3">
      <c r="A103">
        <v>46</v>
      </c>
      <c r="B103">
        <v>51</v>
      </c>
      <c r="C103">
        <v>5</v>
      </c>
      <c r="D103">
        <v>6</v>
      </c>
      <c r="E103">
        <v>0</v>
      </c>
      <c r="F103">
        <f t="shared" si="10"/>
        <v>0.52625424265587528</v>
      </c>
      <c r="G103">
        <f t="shared" si="11"/>
        <v>-1.3482939026266028</v>
      </c>
      <c r="H103">
        <f t="shared" si="12"/>
        <v>-0.27918493673184053</v>
      </c>
      <c r="I103">
        <f t="shared" si="13"/>
        <v>0.28910335917679852</v>
      </c>
      <c r="J103">
        <f t="shared" si="14"/>
        <v>-2.5868412117741815</v>
      </c>
      <c r="K103">
        <f t="shared" si="15"/>
        <v>6.99901140598784E-2</v>
      </c>
      <c r="L103">
        <f t="shared" si="16"/>
        <v>7.2560062848192469E-2</v>
      </c>
      <c r="M103">
        <f t="shared" si="17"/>
        <v>0</v>
      </c>
    </row>
    <row r="104" spans="1:13" x14ac:dyDescent="0.3">
      <c r="A104">
        <v>39</v>
      </c>
      <c r="B104">
        <v>171</v>
      </c>
      <c r="C104">
        <v>9</v>
      </c>
      <c r="D104">
        <v>8</v>
      </c>
      <c r="E104">
        <v>1</v>
      </c>
      <c r="F104">
        <f t="shared" si="10"/>
        <v>-0.15375888018918576</v>
      </c>
      <c r="G104">
        <f t="shared" si="11"/>
        <v>0.12621183191344432</v>
      </c>
      <c r="H104">
        <f t="shared" si="12"/>
        <v>1.1378545740751487</v>
      </c>
      <c r="I104">
        <f t="shared" si="13"/>
        <v>1.2179247897235339</v>
      </c>
      <c r="J104">
        <f t="shared" si="14"/>
        <v>0.6293704199712129</v>
      </c>
      <c r="K104">
        <f t="shared" si="15"/>
        <v>0.6523466931309414</v>
      </c>
      <c r="L104">
        <f t="shared" si="16"/>
        <v>0.42717912044711048</v>
      </c>
      <c r="M104">
        <f t="shared" si="17"/>
        <v>1</v>
      </c>
    </row>
    <row r="105" spans="1:13" x14ac:dyDescent="0.3">
      <c r="A105">
        <v>35</v>
      </c>
      <c r="B105">
        <v>24</v>
      </c>
      <c r="C105">
        <v>5</v>
      </c>
      <c r="D105">
        <v>2</v>
      </c>
      <c r="E105">
        <v>0</v>
      </c>
      <c r="F105">
        <f t="shared" si="10"/>
        <v>-0.54233780752922067</v>
      </c>
      <c r="G105">
        <f t="shared" si="11"/>
        <v>-1.6800576928981132</v>
      </c>
      <c r="H105">
        <f t="shared" si="12"/>
        <v>-0.27918493673184053</v>
      </c>
      <c r="I105">
        <f t="shared" si="13"/>
        <v>-1.5685395019166726</v>
      </c>
      <c r="J105">
        <f t="shared" si="14"/>
        <v>-1.1079146147916838</v>
      </c>
      <c r="K105">
        <f t="shared" si="15"/>
        <v>0.24825987320678211</v>
      </c>
      <c r="L105">
        <f t="shared" si="16"/>
        <v>0.28536459083031696</v>
      </c>
      <c r="M105">
        <f t="shared" si="17"/>
        <v>0</v>
      </c>
    </row>
    <row r="106" spans="1:13" x14ac:dyDescent="0.3">
      <c r="A106">
        <v>35</v>
      </c>
      <c r="B106">
        <v>14</v>
      </c>
      <c r="C106">
        <v>7</v>
      </c>
      <c r="D106">
        <v>3</v>
      </c>
      <c r="E106">
        <v>0</v>
      </c>
      <c r="F106">
        <f t="shared" si="10"/>
        <v>-0.54233780752922067</v>
      </c>
      <c r="G106">
        <f t="shared" si="11"/>
        <v>-1.8029331707764507</v>
      </c>
      <c r="H106">
        <f t="shared" si="12"/>
        <v>0.42933481867165407</v>
      </c>
      <c r="I106">
        <f t="shared" si="13"/>
        <v>-1.1041287866433047</v>
      </c>
      <c r="J106">
        <f t="shared" si="14"/>
        <v>-0.2195101302942899</v>
      </c>
      <c r="K106">
        <f t="shared" si="15"/>
        <v>0.44534176558013766</v>
      </c>
      <c r="L106">
        <f t="shared" si="16"/>
        <v>0.58940314875268673</v>
      </c>
      <c r="M106">
        <f t="shared" si="17"/>
        <v>0</v>
      </c>
    </row>
    <row r="107" spans="1:13" x14ac:dyDescent="0.3">
      <c r="A107">
        <v>54</v>
      </c>
      <c r="B107">
        <v>108</v>
      </c>
      <c r="C107">
        <v>8</v>
      </c>
      <c r="D107">
        <v>3</v>
      </c>
      <c r="E107">
        <v>1</v>
      </c>
      <c r="F107">
        <f t="shared" si="10"/>
        <v>1.3034120973359451</v>
      </c>
      <c r="G107">
        <f t="shared" si="11"/>
        <v>-0.64790367872008037</v>
      </c>
      <c r="H107">
        <f t="shared" si="12"/>
        <v>0.78359469637340129</v>
      </c>
      <c r="I107">
        <f t="shared" si="13"/>
        <v>-1.1041287866433047</v>
      </c>
      <c r="J107">
        <f t="shared" si="14"/>
        <v>3.0205167499786025</v>
      </c>
      <c r="K107">
        <f t="shared" si="15"/>
        <v>0.95349244592785498</v>
      </c>
      <c r="L107">
        <f t="shared" si="16"/>
        <v>4.7623776439899915E-2</v>
      </c>
      <c r="M107">
        <f t="shared" si="17"/>
        <v>1</v>
      </c>
    </row>
    <row r="108" spans="1:13" x14ac:dyDescent="0.3">
      <c r="A108">
        <v>34</v>
      </c>
      <c r="B108">
        <v>57</v>
      </c>
      <c r="C108">
        <v>6</v>
      </c>
      <c r="D108">
        <v>6</v>
      </c>
      <c r="E108">
        <v>0</v>
      </c>
      <c r="F108">
        <f t="shared" si="10"/>
        <v>-0.63948253936422939</v>
      </c>
      <c r="G108">
        <f t="shared" si="11"/>
        <v>-1.2745686158996004</v>
      </c>
      <c r="H108">
        <f t="shared" si="12"/>
        <v>7.5074940969906773E-2</v>
      </c>
      <c r="I108">
        <f t="shared" si="13"/>
        <v>0.28910335917679852</v>
      </c>
      <c r="J108">
        <f t="shared" si="14"/>
        <v>-2.4155318961585088</v>
      </c>
      <c r="K108">
        <f t="shared" si="15"/>
        <v>8.1995953794970031E-2</v>
      </c>
      <c r="L108">
        <f t="shared" si="16"/>
        <v>8.5553480740608576E-2</v>
      </c>
      <c r="M108">
        <f t="shared" si="17"/>
        <v>0</v>
      </c>
    </row>
    <row r="109" spans="1:13" x14ac:dyDescent="0.3">
      <c r="A109">
        <v>34</v>
      </c>
      <c r="B109">
        <v>50</v>
      </c>
      <c r="C109">
        <v>10</v>
      </c>
      <c r="D109">
        <v>1</v>
      </c>
      <c r="E109">
        <v>1</v>
      </c>
      <c r="F109">
        <f t="shared" si="10"/>
        <v>-0.63948253936422939</v>
      </c>
      <c r="G109">
        <f t="shared" si="11"/>
        <v>-1.3605814504144365</v>
      </c>
      <c r="H109">
        <f t="shared" si="12"/>
        <v>1.4921144517768958</v>
      </c>
      <c r="I109">
        <f t="shared" si="13"/>
        <v>-2.0329502171900402</v>
      </c>
      <c r="J109">
        <f t="shared" si="14"/>
        <v>3.9297298690282711</v>
      </c>
      <c r="K109">
        <f t="shared" si="15"/>
        <v>0.98072966282843643</v>
      </c>
      <c r="L109">
        <f t="shared" si="16"/>
        <v>1.9458430453704573E-2</v>
      </c>
      <c r="M109">
        <f t="shared" si="17"/>
        <v>1</v>
      </c>
    </row>
    <row r="110" spans="1:13" x14ac:dyDescent="0.3">
      <c r="A110">
        <v>40</v>
      </c>
      <c r="B110">
        <v>200</v>
      </c>
      <c r="C110">
        <v>3</v>
      </c>
      <c r="D110">
        <v>4</v>
      </c>
      <c r="E110">
        <v>0</v>
      </c>
      <c r="F110">
        <f t="shared" si="10"/>
        <v>-5.6614148354177038E-2</v>
      </c>
      <c r="G110">
        <f t="shared" si="11"/>
        <v>0.48255071776062236</v>
      </c>
      <c r="H110">
        <f t="shared" si="12"/>
        <v>-0.98770469213533507</v>
      </c>
      <c r="I110">
        <f t="shared" si="13"/>
        <v>-0.63971807136993697</v>
      </c>
      <c r="J110">
        <f t="shared" si="14"/>
        <v>-1.3601865962708897</v>
      </c>
      <c r="K110">
        <f t="shared" si="15"/>
        <v>0.20420997717468437</v>
      </c>
      <c r="L110">
        <f t="shared" si="16"/>
        <v>0.2284199183570246</v>
      </c>
      <c r="M110">
        <f t="shared" si="17"/>
        <v>0</v>
      </c>
    </row>
    <row r="111" spans="1:13" x14ac:dyDescent="0.3">
      <c r="A111">
        <v>44</v>
      </c>
      <c r="B111">
        <v>114</v>
      </c>
      <c r="C111">
        <v>7</v>
      </c>
      <c r="D111">
        <v>5</v>
      </c>
      <c r="E111">
        <v>1</v>
      </c>
      <c r="F111">
        <f t="shared" si="10"/>
        <v>0.33196477898585786</v>
      </c>
      <c r="G111">
        <f t="shared" si="11"/>
        <v>-0.57417839199307796</v>
      </c>
      <c r="H111">
        <f t="shared" si="12"/>
        <v>0.42933481867165407</v>
      </c>
      <c r="I111">
        <f t="shared" si="13"/>
        <v>-0.17530735609656925</v>
      </c>
      <c r="J111">
        <f t="shared" si="14"/>
        <v>0.40870258253821995</v>
      </c>
      <c r="K111">
        <f t="shared" si="15"/>
        <v>0.60077674171663409</v>
      </c>
      <c r="L111">
        <f t="shared" si="16"/>
        <v>0.50953189147090561</v>
      </c>
      <c r="M111">
        <f t="shared" si="17"/>
        <v>1</v>
      </c>
    </row>
    <row r="112" spans="1:13" x14ac:dyDescent="0.3">
      <c r="A112">
        <v>47</v>
      </c>
      <c r="B112">
        <v>231</v>
      </c>
      <c r="C112">
        <v>3</v>
      </c>
      <c r="D112">
        <v>1</v>
      </c>
      <c r="E112">
        <v>1</v>
      </c>
      <c r="F112">
        <f t="shared" si="10"/>
        <v>0.62339897449088399</v>
      </c>
      <c r="G112">
        <f t="shared" si="11"/>
        <v>0.8634646991834678</v>
      </c>
      <c r="H112">
        <f t="shared" si="12"/>
        <v>-0.98770469213533507</v>
      </c>
      <c r="I112">
        <f t="shared" si="13"/>
        <v>-2.0329502171900402</v>
      </c>
      <c r="J112">
        <f t="shared" si="14"/>
        <v>1.3647845891370189</v>
      </c>
      <c r="K112">
        <f t="shared" si="15"/>
        <v>0.79653621848560552</v>
      </c>
      <c r="L112">
        <f t="shared" si="16"/>
        <v>0.22748267861864258</v>
      </c>
      <c r="M112">
        <f t="shared" si="17"/>
        <v>1</v>
      </c>
    </row>
    <row r="113" spans="1:13" x14ac:dyDescent="0.3">
      <c r="A113">
        <v>46</v>
      </c>
      <c r="B113">
        <v>132</v>
      </c>
      <c r="C113">
        <v>2</v>
      </c>
      <c r="D113">
        <v>6</v>
      </c>
      <c r="E113">
        <v>0</v>
      </c>
      <c r="F113">
        <f t="shared" si="10"/>
        <v>0.52625424265587528</v>
      </c>
      <c r="G113">
        <f t="shared" si="11"/>
        <v>-0.35300253181207097</v>
      </c>
      <c r="H113">
        <f t="shared" si="12"/>
        <v>-1.3419645698370823</v>
      </c>
      <c r="I113">
        <f t="shared" si="13"/>
        <v>0.28910335917679852</v>
      </c>
      <c r="J113">
        <f t="shared" si="14"/>
        <v>-3.9809468918716857</v>
      </c>
      <c r="K113">
        <f t="shared" si="15"/>
        <v>1.832584833033821E-2</v>
      </c>
      <c r="L113">
        <f t="shared" si="16"/>
        <v>1.8495846802801308E-2</v>
      </c>
      <c r="M113">
        <f t="shared" si="17"/>
        <v>0</v>
      </c>
    </row>
    <row r="114" spans="1:13" x14ac:dyDescent="0.3">
      <c r="A114">
        <v>41</v>
      </c>
      <c r="B114">
        <v>293</v>
      </c>
      <c r="C114">
        <v>1</v>
      </c>
      <c r="D114">
        <v>5</v>
      </c>
      <c r="E114">
        <v>1</v>
      </c>
      <c r="F114">
        <f t="shared" si="10"/>
        <v>4.0530583480831682E-2</v>
      </c>
      <c r="G114">
        <f t="shared" si="11"/>
        <v>1.6252926620291588</v>
      </c>
      <c r="H114">
        <f t="shared" si="12"/>
        <v>-1.6962244475388295</v>
      </c>
      <c r="I114">
        <f t="shared" si="13"/>
        <v>-0.17530735609656925</v>
      </c>
      <c r="J114">
        <f t="shared" si="14"/>
        <v>-2.3361505211447007</v>
      </c>
      <c r="K114">
        <f t="shared" si="15"/>
        <v>8.8172916727624909E-2</v>
      </c>
      <c r="L114">
        <f t="shared" si="16"/>
        <v>2.4284554297042034</v>
      </c>
      <c r="M114">
        <f t="shared" si="17"/>
        <v>0</v>
      </c>
    </row>
    <row r="115" spans="1:13" x14ac:dyDescent="0.3">
      <c r="A115">
        <v>34</v>
      </c>
      <c r="B115">
        <v>91</v>
      </c>
      <c r="C115">
        <v>10</v>
      </c>
      <c r="D115">
        <v>2</v>
      </c>
      <c r="E115">
        <v>1</v>
      </c>
      <c r="F115">
        <f t="shared" si="10"/>
        <v>-0.63948253936422939</v>
      </c>
      <c r="G115">
        <f t="shared" si="11"/>
        <v>-0.85679199111325366</v>
      </c>
      <c r="H115">
        <f t="shared" si="12"/>
        <v>1.4921144517768958</v>
      </c>
      <c r="I115">
        <f t="shared" si="13"/>
        <v>-1.5685395019166726</v>
      </c>
      <c r="J115">
        <f t="shared" si="14"/>
        <v>3.8487169436112669</v>
      </c>
      <c r="K115">
        <f t="shared" si="15"/>
        <v>0.97913746221960529</v>
      </c>
      <c r="L115">
        <f t="shared" si="16"/>
        <v>2.108323546090635E-2</v>
      </c>
      <c r="M115">
        <f t="shared" si="17"/>
        <v>1</v>
      </c>
    </row>
    <row r="116" spans="1:13" x14ac:dyDescent="0.3">
      <c r="A116">
        <v>28</v>
      </c>
      <c r="B116">
        <v>129</v>
      </c>
      <c r="C116">
        <v>3</v>
      </c>
      <c r="D116">
        <v>6</v>
      </c>
      <c r="E116">
        <v>0</v>
      </c>
      <c r="F116">
        <f t="shared" si="10"/>
        <v>-1.2223509303742817</v>
      </c>
      <c r="G116">
        <f t="shared" si="11"/>
        <v>-0.38986517517557212</v>
      </c>
      <c r="H116">
        <f t="shared" si="12"/>
        <v>-0.98770469213533507</v>
      </c>
      <c r="I116">
        <f t="shared" si="13"/>
        <v>0.28910335917679852</v>
      </c>
      <c r="J116">
        <f t="shared" si="14"/>
        <v>-4.2964496621842958</v>
      </c>
      <c r="K116">
        <f t="shared" si="15"/>
        <v>1.3433890756763918E-2</v>
      </c>
      <c r="L116">
        <f t="shared" si="16"/>
        <v>1.3524941833491464E-2</v>
      </c>
      <c r="M116">
        <f t="shared" si="17"/>
        <v>0</v>
      </c>
    </row>
    <row r="117" spans="1:13" x14ac:dyDescent="0.3">
      <c r="A117">
        <v>35</v>
      </c>
      <c r="B117">
        <v>298</v>
      </c>
      <c r="C117">
        <v>3</v>
      </c>
      <c r="D117">
        <v>5</v>
      </c>
      <c r="E117">
        <v>0</v>
      </c>
      <c r="F117">
        <f t="shared" si="10"/>
        <v>-0.54233780752922067</v>
      </c>
      <c r="G117">
        <f t="shared" si="11"/>
        <v>1.6867304009683275</v>
      </c>
      <c r="H117">
        <f t="shared" si="12"/>
        <v>-0.98770469213533507</v>
      </c>
      <c r="I117">
        <f t="shared" si="13"/>
        <v>-0.17530735609656925</v>
      </c>
      <c r="J117">
        <f t="shared" si="14"/>
        <v>-0.98658336153277637</v>
      </c>
      <c r="K117">
        <f t="shared" si="15"/>
        <v>0.27158745568909815</v>
      </c>
      <c r="L117">
        <f t="shared" si="16"/>
        <v>0.31688770954317386</v>
      </c>
      <c r="M117">
        <f t="shared" si="17"/>
        <v>0</v>
      </c>
    </row>
    <row r="118" spans="1:13" x14ac:dyDescent="0.3">
      <c r="A118">
        <v>24</v>
      </c>
      <c r="B118">
        <v>205</v>
      </c>
      <c r="C118">
        <v>6</v>
      </c>
      <c r="D118">
        <v>8</v>
      </c>
      <c r="E118">
        <v>0</v>
      </c>
      <c r="F118">
        <f t="shared" si="10"/>
        <v>-1.6109298577143165</v>
      </c>
      <c r="G118">
        <f t="shared" si="11"/>
        <v>0.54398845669979101</v>
      </c>
      <c r="H118">
        <f t="shared" si="12"/>
        <v>7.5074940969906773E-2</v>
      </c>
      <c r="I118">
        <f t="shared" si="13"/>
        <v>1.2179247897235339</v>
      </c>
      <c r="J118">
        <f t="shared" si="14"/>
        <v>-2.3085433976059559</v>
      </c>
      <c r="K118">
        <f t="shared" si="15"/>
        <v>9.0417867844045111E-2</v>
      </c>
      <c r="L118">
        <f t="shared" si="16"/>
        <v>9.4769980366767329E-2</v>
      </c>
      <c r="M118">
        <f t="shared" si="17"/>
        <v>0</v>
      </c>
    </row>
    <row r="119" spans="1:13" x14ac:dyDescent="0.3">
      <c r="A119">
        <v>36</v>
      </c>
      <c r="B119">
        <v>78</v>
      </c>
      <c r="C119">
        <v>2</v>
      </c>
      <c r="D119">
        <v>4</v>
      </c>
      <c r="E119">
        <v>0</v>
      </c>
      <c r="F119">
        <f t="shared" si="10"/>
        <v>-0.4451930756942119</v>
      </c>
      <c r="G119">
        <f t="shared" si="11"/>
        <v>-1.0165301123550921</v>
      </c>
      <c r="H119">
        <f t="shared" si="12"/>
        <v>-1.3419645698370823</v>
      </c>
      <c r="I119">
        <f t="shared" si="13"/>
        <v>-0.63971807136993697</v>
      </c>
      <c r="J119">
        <f t="shared" si="14"/>
        <v>-4.0567459186323571</v>
      </c>
      <c r="K119">
        <f t="shared" si="15"/>
        <v>1.7010863177354875E-2</v>
      </c>
      <c r="L119">
        <f t="shared" si="16"/>
        <v>1.7157209941155719E-2</v>
      </c>
      <c r="M119">
        <f t="shared" si="17"/>
        <v>0</v>
      </c>
    </row>
    <row r="120" spans="1:13" x14ac:dyDescent="0.3">
      <c r="A120">
        <v>30</v>
      </c>
      <c r="B120">
        <v>86</v>
      </c>
      <c r="C120">
        <v>4</v>
      </c>
      <c r="D120">
        <v>6</v>
      </c>
      <c r="E120">
        <v>0</v>
      </c>
      <c r="F120">
        <f t="shared" si="10"/>
        <v>-1.0280614667042642</v>
      </c>
      <c r="G120">
        <f t="shared" si="11"/>
        <v>-0.91822973005242237</v>
      </c>
      <c r="H120">
        <f t="shared" si="12"/>
        <v>-0.6334448144335878</v>
      </c>
      <c r="I120">
        <f t="shared" si="13"/>
        <v>0.28910335917679852</v>
      </c>
      <c r="J120">
        <f t="shared" si="14"/>
        <v>-3.9228966869996542</v>
      </c>
      <c r="K120">
        <f t="shared" si="15"/>
        <v>1.9399902525927902E-2</v>
      </c>
      <c r="L120">
        <f t="shared" si="16"/>
        <v>1.9590550362528936E-2</v>
      </c>
      <c r="M120">
        <f t="shared" si="17"/>
        <v>0</v>
      </c>
    </row>
    <row r="121" spans="1:13" x14ac:dyDescent="0.3">
      <c r="A121">
        <v>43</v>
      </c>
      <c r="B121">
        <v>258</v>
      </c>
      <c r="C121">
        <v>10</v>
      </c>
      <c r="D121">
        <v>7</v>
      </c>
      <c r="E121">
        <v>1</v>
      </c>
      <c r="F121">
        <f t="shared" si="10"/>
        <v>0.23482004715084911</v>
      </c>
      <c r="G121">
        <f t="shared" si="11"/>
        <v>1.1952284894549785</v>
      </c>
      <c r="H121">
        <f t="shared" si="12"/>
        <v>1.4921144517768958</v>
      </c>
      <c r="I121">
        <f t="shared" si="13"/>
        <v>0.75351407445016627</v>
      </c>
      <c r="J121">
        <f t="shared" si="14"/>
        <v>3.4869699141151442</v>
      </c>
      <c r="K121">
        <f t="shared" si="15"/>
        <v>0.97031474136352236</v>
      </c>
      <c r="L121">
        <f t="shared" si="16"/>
        <v>3.0134784483044668E-2</v>
      </c>
      <c r="M121">
        <f t="shared" si="17"/>
        <v>1</v>
      </c>
    </row>
    <row r="122" spans="1:13" x14ac:dyDescent="0.3">
      <c r="A122">
        <v>28</v>
      </c>
      <c r="B122">
        <v>140</v>
      </c>
      <c r="C122">
        <v>7</v>
      </c>
      <c r="D122">
        <v>3</v>
      </c>
      <c r="E122">
        <v>0</v>
      </c>
      <c r="F122">
        <f t="shared" si="10"/>
        <v>-1.2223509303742817</v>
      </c>
      <c r="G122">
        <f t="shared" si="11"/>
        <v>-0.25470214950940118</v>
      </c>
      <c r="H122">
        <f t="shared" si="12"/>
        <v>0.42933481867165407</v>
      </c>
      <c r="I122">
        <f t="shared" si="13"/>
        <v>-1.1041287866433047</v>
      </c>
      <c r="J122">
        <f t="shared" si="14"/>
        <v>1.0331622909369109</v>
      </c>
      <c r="K122">
        <f t="shared" si="15"/>
        <v>0.73752851241054429</v>
      </c>
      <c r="L122">
        <f t="shared" si="16"/>
        <v>1.3376128215567329</v>
      </c>
      <c r="M122">
        <f t="shared" si="17"/>
        <v>1</v>
      </c>
    </row>
    <row r="123" spans="1:13" x14ac:dyDescent="0.3">
      <c r="A123">
        <v>53</v>
      </c>
      <c r="B123">
        <v>94</v>
      </c>
      <c r="C123">
        <v>8</v>
      </c>
      <c r="D123">
        <v>2</v>
      </c>
      <c r="E123">
        <v>1</v>
      </c>
      <c r="F123">
        <f t="shared" si="10"/>
        <v>1.2062673655009364</v>
      </c>
      <c r="G123">
        <f t="shared" si="11"/>
        <v>-0.81992934774975257</v>
      </c>
      <c r="H123">
        <f t="shared" si="12"/>
        <v>0.78359469637340129</v>
      </c>
      <c r="I123">
        <f t="shared" si="13"/>
        <v>-1.5685395019166726</v>
      </c>
      <c r="J123">
        <f t="shared" si="14"/>
        <v>3.4005237479768247</v>
      </c>
      <c r="K123">
        <f t="shared" si="15"/>
        <v>0.96772089970926845</v>
      </c>
      <c r="L123">
        <f t="shared" si="16"/>
        <v>3.2811560026331434E-2</v>
      </c>
      <c r="M123">
        <f t="shared" si="17"/>
        <v>1</v>
      </c>
    </row>
    <row r="124" spans="1:13" x14ac:dyDescent="0.3">
      <c r="A124">
        <v>50</v>
      </c>
      <c r="B124">
        <v>143</v>
      </c>
      <c r="C124">
        <v>3</v>
      </c>
      <c r="D124">
        <v>2</v>
      </c>
      <c r="E124">
        <v>0</v>
      </c>
      <c r="F124">
        <f t="shared" si="10"/>
        <v>0.91483316999591013</v>
      </c>
      <c r="G124">
        <f t="shared" si="11"/>
        <v>-0.21783950614589997</v>
      </c>
      <c r="H124">
        <f t="shared" si="12"/>
        <v>-0.98770469213533507</v>
      </c>
      <c r="I124">
        <f t="shared" si="13"/>
        <v>-1.5685395019166726</v>
      </c>
      <c r="J124">
        <f t="shared" si="14"/>
        <v>-0.25342852494731094</v>
      </c>
      <c r="K124">
        <f t="shared" si="15"/>
        <v>0.43697980295142741</v>
      </c>
      <c r="L124">
        <f t="shared" si="16"/>
        <v>0.57443977750975206</v>
      </c>
      <c r="M124">
        <f t="shared" si="17"/>
        <v>0</v>
      </c>
    </row>
    <row r="125" spans="1:13" x14ac:dyDescent="0.3">
      <c r="A125">
        <v>37</v>
      </c>
      <c r="B125">
        <v>279</v>
      </c>
      <c r="C125">
        <v>8</v>
      </c>
      <c r="D125">
        <v>1</v>
      </c>
      <c r="E125">
        <v>1</v>
      </c>
      <c r="F125">
        <f t="shared" si="10"/>
        <v>-0.34804834385920319</v>
      </c>
      <c r="G125">
        <f t="shared" si="11"/>
        <v>1.4532669929994866</v>
      </c>
      <c r="H125">
        <f t="shared" si="12"/>
        <v>0.78359469637340129</v>
      </c>
      <c r="I125">
        <f t="shared" si="13"/>
        <v>-2.0329502171900402</v>
      </c>
      <c r="J125">
        <f t="shared" si="14"/>
        <v>5.5178397094792082</v>
      </c>
      <c r="K125">
        <f t="shared" si="15"/>
        <v>0.99600154076741998</v>
      </c>
      <c r="L125">
        <f t="shared" si="16"/>
        <v>4.0064744434944091E-3</v>
      </c>
      <c r="M125">
        <f t="shared" si="17"/>
        <v>1</v>
      </c>
    </row>
    <row r="126" spans="1:13" x14ac:dyDescent="0.3">
      <c r="A126">
        <v>45</v>
      </c>
      <c r="B126">
        <v>173</v>
      </c>
      <c r="C126">
        <v>7</v>
      </c>
      <c r="D126">
        <v>7</v>
      </c>
      <c r="E126">
        <v>0</v>
      </c>
      <c r="F126">
        <f t="shared" si="10"/>
        <v>0.42910951082086657</v>
      </c>
      <c r="G126">
        <f t="shared" si="11"/>
        <v>0.15078692748911179</v>
      </c>
      <c r="H126">
        <f t="shared" si="12"/>
        <v>0.42933481867165407</v>
      </c>
      <c r="I126">
        <f t="shared" si="13"/>
        <v>0.75351407445016627</v>
      </c>
      <c r="J126">
        <f t="shared" si="14"/>
        <v>1.0341566999665375E-3</v>
      </c>
      <c r="K126">
        <f t="shared" si="15"/>
        <v>0.50025853915194984</v>
      </c>
      <c r="L126">
        <f t="shared" si="16"/>
        <v>0.69366439259493284</v>
      </c>
      <c r="M126">
        <f t="shared" si="17"/>
        <v>1</v>
      </c>
    </row>
    <row r="127" spans="1:13" x14ac:dyDescent="0.3">
      <c r="A127">
        <v>50</v>
      </c>
      <c r="B127">
        <v>270</v>
      </c>
      <c r="C127">
        <v>7</v>
      </c>
      <c r="D127">
        <v>7</v>
      </c>
      <c r="E127">
        <v>1</v>
      </c>
      <c r="F127">
        <f t="shared" si="10"/>
        <v>0.91483316999591013</v>
      </c>
      <c r="G127">
        <f t="shared" si="11"/>
        <v>1.3426790629089831</v>
      </c>
      <c r="H127">
        <f t="shared" si="12"/>
        <v>0.42933481867165407</v>
      </c>
      <c r="I127">
        <f t="shared" si="13"/>
        <v>0.75351407445016627</v>
      </c>
      <c r="J127">
        <f t="shared" si="14"/>
        <v>1.6004506532583016</v>
      </c>
      <c r="K127">
        <f t="shared" si="15"/>
        <v>0.83208136071835348</v>
      </c>
      <c r="L127">
        <f t="shared" si="16"/>
        <v>0.18382505361704873</v>
      </c>
      <c r="M127">
        <f t="shared" si="17"/>
        <v>1</v>
      </c>
    </row>
    <row r="128" spans="1:13" x14ac:dyDescent="0.3">
      <c r="A128">
        <v>52</v>
      </c>
      <c r="B128">
        <v>89</v>
      </c>
      <c r="C128">
        <v>10</v>
      </c>
      <c r="D128">
        <v>8</v>
      </c>
      <c r="E128">
        <v>0</v>
      </c>
      <c r="F128">
        <f t="shared" si="10"/>
        <v>1.1091226336659277</v>
      </c>
      <c r="G128">
        <f t="shared" si="11"/>
        <v>-0.88136708668892116</v>
      </c>
      <c r="H128">
        <f t="shared" si="12"/>
        <v>1.4921144517768958</v>
      </c>
      <c r="I128">
        <f t="shared" si="13"/>
        <v>1.2179247897235339</v>
      </c>
      <c r="J128">
        <f t="shared" si="14"/>
        <v>1.155160190477208</v>
      </c>
      <c r="K128">
        <f t="shared" si="15"/>
        <v>0.76045218424998051</v>
      </c>
      <c r="L128">
        <f t="shared" si="16"/>
        <v>1.4290022338326709</v>
      </c>
      <c r="M128">
        <f t="shared" si="17"/>
        <v>1</v>
      </c>
    </row>
    <row r="129" spans="1:13" x14ac:dyDescent="0.3">
      <c r="A129">
        <v>40</v>
      </c>
      <c r="B129">
        <v>21</v>
      </c>
      <c r="C129">
        <v>9</v>
      </c>
      <c r="D129">
        <v>6</v>
      </c>
      <c r="E129">
        <v>1</v>
      </c>
      <c r="F129">
        <f t="shared" si="10"/>
        <v>-5.6614148354177038E-2</v>
      </c>
      <c r="G129">
        <f t="shared" si="11"/>
        <v>-1.7169203362616146</v>
      </c>
      <c r="H129">
        <f t="shared" si="12"/>
        <v>1.1378545740751487</v>
      </c>
      <c r="I129">
        <f t="shared" si="13"/>
        <v>0.28910335917679852</v>
      </c>
      <c r="J129">
        <f t="shared" si="14"/>
        <v>-5.4450651939967176E-2</v>
      </c>
      <c r="K129">
        <f t="shared" si="15"/>
        <v>0.48639069933676776</v>
      </c>
      <c r="L129">
        <f t="shared" si="16"/>
        <v>0.72074306994233928</v>
      </c>
      <c r="M129">
        <f t="shared" si="17"/>
        <v>0</v>
      </c>
    </row>
    <row r="130" spans="1:13" x14ac:dyDescent="0.3">
      <c r="A130">
        <v>37</v>
      </c>
      <c r="B130">
        <v>223</v>
      </c>
      <c r="C130">
        <v>6</v>
      </c>
      <c r="D130">
        <v>6</v>
      </c>
      <c r="E130">
        <v>0</v>
      </c>
      <c r="F130">
        <f t="shared" si="10"/>
        <v>-0.34804834385920319</v>
      </c>
      <c r="G130">
        <f t="shared" si="11"/>
        <v>0.765164316880798</v>
      </c>
      <c r="H130">
        <f t="shared" si="12"/>
        <v>7.5074940969906773E-2</v>
      </c>
      <c r="I130">
        <f t="shared" si="13"/>
        <v>0.28910335917679852</v>
      </c>
      <c r="J130">
        <f t="shared" si="14"/>
        <v>-1.8059138524090856E-2</v>
      </c>
      <c r="K130">
        <f t="shared" si="15"/>
        <v>0.49548533806646972</v>
      </c>
      <c r="L130">
        <f t="shared" si="16"/>
        <v>0.68415837730447016</v>
      </c>
      <c r="M130">
        <f t="shared" si="17"/>
        <v>0</v>
      </c>
    </row>
    <row r="131" spans="1:13" x14ac:dyDescent="0.3">
      <c r="A131">
        <v>39</v>
      </c>
      <c r="B131">
        <v>274</v>
      </c>
      <c r="C131">
        <v>1</v>
      </c>
      <c r="D131">
        <v>1</v>
      </c>
      <c r="E131">
        <v>0</v>
      </c>
      <c r="F131">
        <f t="shared" ref="F131:F152" si="18">(A131-$S$2)/$S$3</f>
        <v>-0.15375888018918576</v>
      </c>
      <c r="G131">
        <f t="shared" ref="G131:G152" si="19">(B131-$T$2)/$T$3</f>
        <v>1.3918292540603181</v>
      </c>
      <c r="H131">
        <f t="shared" ref="H131:H152" si="20">(C131-$U$2)/$U$3</f>
        <v>-1.6962244475388295</v>
      </c>
      <c r="I131">
        <f t="shared" ref="I131:I152" si="21">(D131-$V$2)/$V$3</f>
        <v>-2.0329502171900402</v>
      </c>
      <c r="J131">
        <f t="shared" ref="J131:J152" si="22">$T$8+$T$9*F131+$T$10*G131+$T$11*H131+$T$12*I131</f>
        <v>-0.20036410443811681</v>
      </c>
      <c r="K131">
        <f t="shared" ref="K131:K152" si="23">1/(1+EXP(-J131))</f>
        <v>0.45007588244109792</v>
      </c>
      <c r="L131">
        <f t="shared" ref="L131:L152" si="24">IF(E131=1,-LN(K131),-LN(1-K131))</f>
        <v>0.59797497834881441</v>
      </c>
      <c r="M131">
        <f t="shared" ref="M131:M152" si="25">IF(K131 &gt; 0.5, 1, 0)</f>
        <v>0</v>
      </c>
    </row>
    <row r="132" spans="1:13" x14ac:dyDescent="0.3">
      <c r="A132">
        <v>38</v>
      </c>
      <c r="B132">
        <v>90</v>
      </c>
      <c r="C132">
        <v>10</v>
      </c>
      <c r="D132">
        <v>6</v>
      </c>
      <c r="E132">
        <v>1</v>
      </c>
      <c r="F132">
        <f t="shared" si="18"/>
        <v>-0.25090361202419448</v>
      </c>
      <c r="G132">
        <f t="shared" si="19"/>
        <v>-0.86907953890108747</v>
      </c>
      <c r="H132">
        <f t="shared" si="20"/>
        <v>1.4921144517768958</v>
      </c>
      <c r="I132">
        <f t="shared" si="21"/>
        <v>0.28910335917679852</v>
      </c>
      <c r="J132">
        <f t="shared" si="22"/>
        <v>1.5684301111465169</v>
      </c>
      <c r="K132">
        <f t="shared" si="23"/>
        <v>0.82755969302110066</v>
      </c>
      <c r="L132">
        <f t="shared" si="24"/>
        <v>0.18927403775124663</v>
      </c>
      <c r="M132">
        <f t="shared" si="25"/>
        <v>1</v>
      </c>
    </row>
    <row r="133" spans="1:13" x14ac:dyDescent="0.3">
      <c r="A133">
        <v>44</v>
      </c>
      <c r="B133">
        <v>275</v>
      </c>
      <c r="C133">
        <v>4</v>
      </c>
      <c r="D133">
        <v>7</v>
      </c>
      <c r="E133">
        <v>0</v>
      </c>
      <c r="F133">
        <f t="shared" si="18"/>
        <v>0.33196477898585786</v>
      </c>
      <c r="G133">
        <f t="shared" si="19"/>
        <v>1.4041168018481518</v>
      </c>
      <c r="H133">
        <f t="shared" si="20"/>
        <v>-0.6334448144335878</v>
      </c>
      <c r="I133">
        <f t="shared" si="21"/>
        <v>0.75351407445016627</v>
      </c>
      <c r="J133">
        <f t="shared" si="22"/>
        <v>-1.1741046971817795</v>
      </c>
      <c r="K133">
        <f t="shared" si="23"/>
        <v>0.23611384253306733</v>
      </c>
      <c r="L133">
        <f t="shared" si="24"/>
        <v>0.26933650946962895</v>
      </c>
      <c r="M133">
        <f t="shared" si="25"/>
        <v>0</v>
      </c>
    </row>
    <row r="134" spans="1:13" x14ac:dyDescent="0.3">
      <c r="A134">
        <v>23</v>
      </c>
      <c r="B134">
        <v>55</v>
      </c>
      <c r="C134">
        <v>2</v>
      </c>
      <c r="D134">
        <v>6</v>
      </c>
      <c r="E134">
        <v>0</v>
      </c>
      <c r="F134">
        <f t="shared" si="18"/>
        <v>-1.7080745895493252</v>
      </c>
      <c r="G134">
        <f t="shared" si="19"/>
        <v>-1.2991437114752677</v>
      </c>
      <c r="H134">
        <f t="shared" si="20"/>
        <v>-1.3419645698370823</v>
      </c>
      <c r="I134">
        <f t="shared" si="21"/>
        <v>0.28910335917679852</v>
      </c>
      <c r="J134">
        <f t="shared" si="22"/>
        <v>-6.4139195496854384</v>
      </c>
      <c r="K134">
        <f t="shared" si="23"/>
        <v>1.635908783718848E-3</v>
      </c>
      <c r="L134">
        <f t="shared" si="24"/>
        <v>1.6372483436244249E-3</v>
      </c>
      <c r="M134">
        <f t="shared" si="25"/>
        <v>0</v>
      </c>
    </row>
    <row r="135" spans="1:13" x14ac:dyDescent="0.3">
      <c r="A135">
        <v>52</v>
      </c>
      <c r="B135">
        <v>30</v>
      </c>
      <c r="C135">
        <v>6</v>
      </c>
      <c r="D135">
        <v>8</v>
      </c>
      <c r="E135">
        <v>0</v>
      </c>
      <c r="F135">
        <f t="shared" si="18"/>
        <v>1.1091226336659277</v>
      </c>
      <c r="G135">
        <f t="shared" si="19"/>
        <v>-1.6063324061711111</v>
      </c>
      <c r="H135">
        <f t="shared" si="20"/>
        <v>7.5074940969906773E-2</v>
      </c>
      <c r="I135">
        <f t="shared" si="21"/>
        <v>1.2179247897235339</v>
      </c>
      <c r="J135">
        <f t="shared" si="22"/>
        <v>-2.9310724068247449</v>
      </c>
      <c r="K135">
        <f t="shared" si="23"/>
        <v>5.0638744698383566E-2</v>
      </c>
      <c r="L135">
        <f t="shared" si="24"/>
        <v>5.1965883365218762E-2</v>
      </c>
      <c r="M135">
        <f t="shared" si="25"/>
        <v>0</v>
      </c>
    </row>
    <row r="136" spans="1:13" x14ac:dyDescent="0.3">
      <c r="A136">
        <v>48</v>
      </c>
      <c r="B136">
        <v>133</v>
      </c>
      <c r="C136">
        <v>5</v>
      </c>
      <c r="D136">
        <v>6</v>
      </c>
      <c r="E136">
        <v>0</v>
      </c>
      <c r="F136">
        <f t="shared" si="18"/>
        <v>0.72054370632589271</v>
      </c>
      <c r="G136">
        <f t="shared" si="19"/>
        <v>-0.34071498402423722</v>
      </c>
      <c r="H136">
        <f t="shared" si="20"/>
        <v>-0.27918493673184053</v>
      </c>
      <c r="I136">
        <f t="shared" si="21"/>
        <v>0.28910335917679852</v>
      </c>
      <c r="J136">
        <f t="shared" si="22"/>
        <v>-1.3708784393195415</v>
      </c>
      <c r="K136">
        <f t="shared" si="23"/>
        <v>0.20247795841817529</v>
      </c>
      <c r="L136">
        <f t="shared" si="24"/>
        <v>0.22624580635795385</v>
      </c>
      <c r="M136">
        <f t="shared" si="25"/>
        <v>0</v>
      </c>
    </row>
    <row r="137" spans="1:13" x14ac:dyDescent="0.3">
      <c r="A137">
        <v>32</v>
      </c>
      <c r="B137">
        <v>102</v>
      </c>
      <c r="C137">
        <v>6</v>
      </c>
      <c r="D137">
        <v>2</v>
      </c>
      <c r="E137">
        <v>1</v>
      </c>
      <c r="F137">
        <f t="shared" si="18"/>
        <v>-0.83377200303424681</v>
      </c>
      <c r="G137">
        <f t="shared" si="19"/>
        <v>-0.72162896544708277</v>
      </c>
      <c r="H137">
        <f t="shared" si="20"/>
        <v>7.5074940969906773E-2</v>
      </c>
      <c r="I137">
        <f t="shared" si="21"/>
        <v>-1.5685395019166726</v>
      </c>
      <c r="J137">
        <f t="shared" si="22"/>
        <v>0.57387848177964007</v>
      </c>
      <c r="K137">
        <f t="shared" si="23"/>
        <v>0.63965763206914372</v>
      </c>
      <c r="L137">
        <f t="shared" si="24"/>
        <v>0.4468221956571255</v>
      </c>
      <c r="M137">
        <f t="shared" si="25"/>
        <v>1</v>
      </c>
    </row>
    <row r="138" spans="1:13" x14ac:dyDescent="0.3">
      <c r="A138">
        <v>39</v>
      </c>
      <c r="B138">
        <v>73</v>
      </c>
      <c r="C138">
        <v>3</v>
      </c>
      <c r="D138">
        <v>7</v>
      </c>
      <c r="E138">
        <v>0</v>
      </c>
      <c r="F138">
        <f t="shared" si="18"/>
        <v>-0.15375888018918576</v>
      </c>
      <c r="G138">
        <f t="shared" si="19"/>
        <v>-1.0779678512942608</v>
      </c>
      <c r="H138">
        <f t="shared" si="20"/>
        <v>-0.98770469213533507</v>
      </c>
      <c r="I138">
        <f t="shared" si="21"/>
        <v>0.75351407445016627</v>
      </c>
      <c r="J138">
        <f t="shared" si="22"/>
        <v>-4.9988225071460519</v>
      </c>
      <c r="K138">
        <f t="shared" si="23"/>
        <v>6.700683512283632E-3</v>
      </c>
      <c r="L138">
        <f t="shared" si="24"/>
        <v>6.7232338837692465E-3</v>
      </c>
      <c r="M138">
        <f t="shared" si="25"/>
        <v>0</v>
      </c>
    </row>
    <row r="139" spans="1:13" x14ac:dyDescent="0.3">
      <c r="A139">
        <v>46</v>
      </c>
      <c r="B139">
        <v>69</v>
      </c>
      <c r="C139">
        <v>9</v>
      </c>
      <c r="D139">
        <v>7</v>
      </c>
      <c r="E139">
        <v>1</v>
      </c>
      <c r="F139">
        <f t="shared" si="18"/>
        <v>0.52625424265587528</v>
      </c>
      <c r="G139">
        <f t="shared" si="19"/>
        <v>-1.1271180424455958</v>
      </c>
      <c r="H139">
        <f t="shared" si="20"/>
        <v>1.1378545740751487</v>
      </c>
      <c r="I139">
        <f t="shared" si="21"/>
        <v>0.75351407445016627</v>
      </c>
      <c r="J139">
        <f t="shared" si="22"/>
        <v>0.32467275978282473</v>
      </c>
      <c r="K139">
        <f t="shared" si="23"/>
        <v>0.58046261549459177</v>
      </c>
      <c r="L139">
        <f t="shared" si="24"/>
        <v>0.54392988044410617</v>
      </c>
      <c r="M139">
        <f t="shared" si="25"/>
        <v>1</v>
      </c>
    </row>
    <row r="140" spans="1:13" x14ac:dyDescent="0.3">
      <c r="A140">
        <v>49</v>
      </c>
      <c r="B140">
        <v>208</v>
      </c>
      <c r="C140">
        <v>7</v>
      </c>
      <c r="D140">
        <v>7</v>
      </c>
      <c r="E140">
        <v>1</v>
      </c>
      <c r="F140">
        <f t="shared" si="18"/>
        <v>0.81768843816090142</v>
      </c>
      <c r="G140">
        <f t="shared" si="19"/>
        <v>0.58085110006329221</v>
      </c>
      <c r="H140">
        <f t="shared" si="20"/>
        <v>0.42933481867165407</v>
      </c>
      <c r="I140">
        <f t="shared" si="21"/>
        <v>0.75351407445016627</v>
      </c>
      <c r="J140">
        <f t="shared" si="22"/>
        <v>0.71237390475187423</v>
      </c>
      <c r="K140">
        <f t="shared" si="23"/>
        <v>0.6709254936325949</v>
      </c>
      <c r="L140">
        <f t="shared" si="24"/>
        <v>0.39909718598098148</v>
      </c>
      <c r="M140">
        <f t="shared" si="25"/>
        <v>1</v>
      </c>
    </row>
    <row r="141" spans="1:13" x14ac:dyDescent="0.3">
      <c r="A141">
        <v>39</v>
      </c>
      <c r="B141">
        <v>102</v>
      </c>
      <c r="C141">
        <v>6</v>
      </c>
      <c r="D141">
        <v>7</v>
      </c>
      <c r="E141">
        <v>0</v>
      </c>
      <c r="F141">
        <f t="shared" si="18"/>
        <v>-0.15375888018918576</v>
      </c>
      <c r="G141">
        <f t="shared" si="19"/>
        <v>-0.72162896544708277</v>
      </c>
      <c r="H141">
        <f t="shared" si="20"/>
        <v>7.5074940969906773E-2</v>
      </c>
      <c r="I141">
        <f t="shared" si="21"/>
        <v>0.75351407445016627</v>
      </c>
      <c r="J141">
        <f t="shared" si="22"/>
        <v>-2.1375506436817959</v>
      </c>
      <c r="K141">
        <f t="shared" si="23"/>
        <v>0.10550031201991074</v>
      </c>
      <c r="L141">
        <f t="shared" si="24"/>
        <v>0.11149072485389439</v>
      </c>
      <c r="M141">
        <f t="shared" si="25"/>
        <v>0</v>
      </c>
    </row>
    <row r="142" spans="1:13" x14ac:dyDescent="0.3">
      <c r="A142">
        <v>41</v>
      </c>
      <c r="B142">
        <v>141</v>
      </c>
      <c r="C142">
        <v>9</v>
      </c>
      <c r="D142">
        <v>3</v>
      </c>
      <c r="E142">
        <v>1</v>
      </c>
      <c r="F142">
        <f t="shared" si="18"/>
        <v>4.0530583480831682E-2</v>
      </c>
      <c r="G142">
        <f t="shared" si="19"/>
        <v>-0.24241460172156742</v>
      </c>
      <c r="H142">
        <f t="shared" si="20"/>
        <v>1.1378545740751487</v>
      </c>
      <c r="I142">
        <f t="shared" si="21"/>
        <v>-1.1041287866433047</v>
      </c>
      <c r="J142">
        <f t="shared" si="22"/>
        <v>3.4908201381754931</v>
      </c>
      <c r="K142">
        <f t="shared" si="23"/>
        <v>0.9704254427901875</v>
      </c>
      <c r="L142">
        <f t="shared" si="24"/>
        <v>3.0020702827304159E-2</v>
      </c>
      <c r="M142">
        <f t="shared" si="25"/>
        <v>1</v>
      </c>
    </row>
    <row r="143" spans="1:13" x14ac:dyDescent="0.3">
      <c r="A143">
        <v>33</v>
      </c>
      <c r="B143">
        <v>243</v>
      </c>
      <c r="C143">
        <v>3</v>
      </c>
      <c r="D143">
        <v>6</v>
      </c>
      <c r="E143">
        <v>0</v>
      </c>
      <c r="F143">
        <f t="shared" si="18"/>
        <v>-0.7366272711992381</v>
      </c>
      <c r="G143">
        <f t="shared" si="19"/>
        <v>1.0109152726374726</v>
      </c>
      <c r="H143">
        <f t="shared" si="20"/>
        <v>-0.98770469213533507</v>
      </c>
      <c r="I143">
        <f t="shared" si="21"/>
        <v>0.28910335917679852</v>
      </c>
      <c r="J143">
        <f t="shared" si="22"/>
        <v>-2.470289300923826</v>
      </c>
      <c r="K143">
        <f t="shared" si="23"/>
        <v>7.796743517637468E-2</v>
      </c>
      <c r="L143">
        <f t="shared" si="24"/>
        <v>8.1174736283951193E-2</v>
      </c>
      <c r="M143">
        <f t="shared" si="25"/>
        <v>0</v>
      </c>
    </row>
    <row r="144" spans="1:13" x14ac:dyDescent="0.3">
      <c r="A144">
        <v>53</v>
      </c>
      <c r="B144">
        <v>48</v>
      </c>
      <c r="C144">
        <v>9</v>
      </c>
      <c r="D144">
        <v>2</v>
      </c>
      <c r="E144">
        <v>1</v>
      </c>
      <c r="F144">
        <f t="shared" si="18"/>
        <v>1.2062673655009364</v>
      </c>
      <c r="G144">
        <f t="shared" si="19"/>
        <v>-1.3851565459901038</v>
      </c>
      <c r="H144">
        <f t="shared" si="20"/>
        <v>1.1378545740751487</v>
      </c>
      <c r="I144">
        <f t="shared" si="21"/>
        <v>-1.5685395019166726</v>
      </c>
      <c r="J144">
        <f t="shared" si="22"/>
        <v>3.611806027852039</v>
      </c>
      <c r="K144">
        <f t="shared" si="23"/>
        <v>0.97370695737014323</v>
      </c>
      <c r="L144">
        <f t="shared" si="24"/>
        <v>2.6644885731649449E-2</v>
      </c>
      <c r="M144">
        <f t="shared" si="25"/>
        <v>1</v>
      </c>
    </row>
    <row r="145" spans="1:13" x14ac:dyDescent="0.3">
      <c r="A145">
        <v>49</v>
      </c>
      <c r="B145">
        <v>14</v>
      </c>
      <c r="C145">
        <v>10</v>
      </c>
      <c r="D145">
        <v>8</v>
      </c>
      <c r="E145">
        <v>1</v>
      </c>
      <c r="F145">
        <f t="shared" si="18"/>
        <v>0.81768843816090142</v>
      </c>
      <c r="G145">
        <f t="shared" si="19"/>
        <v>-1.8029331707764507</v>
      </c>
      <c r="H145">
        <f t="shared" si="20"/>
        <v>1.4921144517768958</v>
      </c>
      <c r="I145">
        <f t="shared" si="21"/>
        <v>1.2179247897235339</v>
      </c>
      <c r="J145">
        <f t="shared" si="22"/>
        <v>-2.8565997281079225E-2</v>
      </c>
      <c r="K145">
        <f t="shared" si="23"/>
        <v>0.49285898627170027</v>
      </c>
      <c r="L145">
        <f t="shared" si="24"/>
        <v>0.70753217775761879</v>
      </c>
      <c r="M145">
        <f t="shared" si="25"/>
        <v>0</v>
      </c>
    </row>
    <row r="146" spans="1:13" x14ac:dyDescent="0.3">
      <c r="A146">
        <v>25</v>
      </c>
      <c r="B146">
        <v>212</v>
      </c>
      <c r="C146">
        <v>2</v>
      </c>
      <c r="D146">
        <v>5</v>
      </c>
      <c r="E146">
        <v>0</v>
      </c>
      <c r="F146">
        <f t="shared" si="18"/>
        <v>-1.5137851258793078</v>
      </c>
      <c r="G146">
        <f t="shared" si="19"/>
        <v>0.63000129121462711</v>
      </c>
      <c r="H146">
        <f t="shared" si="20"/>
        <v>-1.3419645698370823</v>
      </c>
      <c r="I146">
        <f t="shared" si="21"/>
        <v>-0.17530735609656925</v>
      </c>
      <c r="J146">
        <f t="shared" si="22"/>
        <v>-3.5697504220815821</v>
      </c>
      <c r="K146">
        <f t="shared" si="23"/>
        <v>2.7391459212958713E-2</v>
      </c>
      <c r="L146">
        <f t="shared" si="24"/>
        <v>2.7773599653679801E-2</v>
      </c>
      <c r="M146">
        <f t="shared" si="25"/>
        <v>0</v>
      </c>
    </row>
    <row r="147" spans="1:13" x14ac:dyDescent="0.3">
      <c r="A147">
        <v>48</v>
      </c>
      <c r="B147">
        <v>184</v>
      </c>
      <c r="C147">
        <v>5</v>
      </c>
      <c r="D147">
        <v>6</v>
      </c>
      <c r="E147">
        <v>0</v>
      </c>
      <c r="F147">
        <f t="shared" si="18"/>
        <v>0.72054370632589271</v>
      </c>
      <c r="G147">
        <f t="shared" si="19"/>
        <v>0.28594995315528277</v>
      </c>
      <c r="H147">
        <f t="shared" si="20"/>
        <v>-0.27918493673184053</v>
      </c>
      <c r="I147">
        <f t="shared" si="21"/>
        <v>0.28910335917679852</v>
      </c>
      <c r="J147">
        <f t="shared" si="22"/>
        <v>-0.69064684521313813</v>
      </c>
      <c r="K147">
        <f t="shared" si="23"/>
        <v>0.33388919476080864</v>
      </c>
      <c r="L147">
        <f t="shared" si="24"/>
        <v>0.40629924804738571</v>
      </c>
      <c r="M147">
        <f t="shared" si="25"/>
        <v>0</v>
      </c>
    </row>
    <row r="148" spans="1:13" x14ac:dyDescent="0.3">
      <c r="A148">
        <v>55</v>
      </c>
      <c r="B148">
        <v>138</v>
      </c>
      <c r="C148">
        <v>3</v>
      </c>
      <c r="D148">
        <v>9</v>
      </c>
      <c r="E148">
        <v>0</v>
      </c>
      <c r="F148">
        <f t="shared" si="18"/>
        <v>1.4005568291709538</v>
      </c>
      <c r="G148">
        <f t="shared" si="19"/>
        <v>-0.27927724508506863</v>
      </c>
      <c r="H148">
        <f t="shared" si="20"/>
        <v>-0.98770469213533507</v>
      </c>
      <c r="I148">
        <f t="shared" si="21"/>
        <v>1.6823355049969018</v>
      </c>
      <c r="J148">
        <f t="shared" si="22"/>
        <v>-4.4095356456686119</v>
      </c>
      <c r="K148">
        <f t="shared" si="23"/>
        <v>1.2014715114977625E-2</v>
      </c>
      <c r="L148">
        <f t="shared" si="24"/>
        <v>1.2087475186254084E-2</v>
      </c>
      <c r="M148">
        <f t="shared" si="25"/>
        <v>0</v>
      </c>
    </row>
    <row r="149" spans="1:13" x14ac:dyDescent="0.3">
      <c r="A149">
        <v>28</v>
      </c>
      <c r="B149">
        <v>231</v>
      </c>
      <c r="C149">
        <v>4</v>
      </c>
      <c r="D149">
        <v>7</v>
      </c>
      <c r="E149">
        <v>1</v>
      </c>
      <c r="F149">
        <f t="shared" si="18"/>
        <v>-1.2223509303742817</v>
      </c>
      <c r="G149">
        <f t="shared" si="19"/>
        <v>0.8634646991834678</v>
      </c>
      <c r="H149">
        <f t="shared" si="20"/>
        <v>-0.6334448144335878</v>
      </c>
      <c r="I149">
        <f t="shared" si="21"/>
        <v>0.75351407445016627</v>
      </c>
      <c r="J149">
        <f t="shared" si="22"/>
        <v>-2.7390277475420639</v>
      </c>
      <c r="K149">
        <f t="shared" si="23"/>
        <v>6.070932107419303E-2</v>
      </c>
      <c r="L149">
        <f t="shared" si="24"/>
        <v>2.8016580329991299</v>
      </c>
      <c r="M149">
        <f t="shared" si="25"/>
        <v>0</v>
      </c>
    </row>
    <row r="150" spans="1:13" x14ac:dyDescent="0.3">
      <c r="A150">
        <v>37</v>
      </c>
      <c r="B150">
        <v>144</v>
      </c>
      <c r="C150">
        <v>8</v>
      </c>
      <c r="D150">
        <v>8</v>
      </c>
      <c r="E150">
        <v>0</v>
      </c>
      <c r="F150">
        <f t="shared" si="18"/>
        <v>-0.34804834385920319</v>
      </c>
      <c r="G150">
        <f t="shared" si="19"/>
        <v>-0.20555195835806625</v>
      </c>
      <c r="H150">
        <f t="shared" si="20"/>
        <v>0.78359469637340129</v>
      </c>
      <c r="I150">
        <f t="shared" si="21"/>
        <v>1.2179247897235339</v>
      </c>
      <c r="J150">
        <f t="shared" si="22"/>
        <v>-0.67783376281045271</v>
      </c>
      <c r="K150">
        <f t="shared" si="23"/>
        <v>0.33674495565299767</v>
      </c>
      <c r="L150">
        <f t="shared" si="24"/>
        <v>0.41059568049452544</v>
      </c>
      <c r="M150">
        <f t="shared" si="25"/>
        <v>0</v>
      </c>
    </row>
    <row r="151" spans="1:13" x14ac:dyDescent="0.3">
      <c r="A151">
        <v>50</v>
      </c>
      <c r="B151">
        <v>217</v>
      </c>
      <c r="C151">
        <v>1</v>
      </c>
      <c r="D151">
        <v>2</v>
      </c>
      <c r="E151">
        <v>0</v>
      </c>
      <c r="F151">
        <f t="shared" si="18"/>
        <v>0.91483316999591013</v>
      </c>
      <c r="G151">
        <f t="shared" si="19"/>
        <v>0.69143903015379571</v>
      </c>
      <c r="H151">
        <f t="shared" si="20"/>
        <v>-1.6962244475388295</v>
      </c>
      <c r="I151">
        <f t="shared" si="21"/>
        <v>-1.5685395019166726</v>
      </c>
      <c r="J151">
        <f t="shared" si="22"/>
        <v>-0.91607482379411564</v>
      </c>
      <c r="K151">
        <f t="shared" si="23"/>
        <v>0.28575835062629995</v>
      </c>
      <c r="L151">
        <f t="shared" si="24"/>
        <v>0.33653392940099325</v>
      </c>
      <c r="M151">
        <f t="shared" si="25"/>
        <v>0</v>
      </c>
    </row>
    <row r="152" spans="1:13" x14ac:dyDescent="0.3">
      <c r="A152">
        <v>55</v>
      </c>
      <c r="B152">
        <v>216</v>
      </c>
      <c r="C152">
        <v>8</v>
      </c>
      <c r="D152">
        <v>5</v>
      </c>
      <c r="E152">
        <v>1</v>
      </c>
      <c r="F152">
        <f t="shared" si="18"/>
        <v>1.4005568291709538</v>
      </c>
      <c r="G152">
        <f t="shared" si="19"/>
        <v>0.67915148236596201</v>
      </c>
      <c r="H152">
        <f t="shared" si="20"/>
        <v>0.78359469637340129</v>
      </c>
      <c r="I152">
        <f t="shared" si="21"/>
        <v>-0.17530735609656925</v>
      </c>
      <c r="J152">
        <f t="shared" si="22"/>
        <v>3.2664041694582657</v>
      </c>
      <c r="K152">
        <f t="shared" si="23"/>
        <v>0.96325812017897283</v>
      </c>
      <c r="L152">
        <f t="shared" si="24"/>
        <v>3.7433865530636191E-2</v>
      </c>
      <c r="M152">
        <f t="shared" si="25"/>
        <v>1</v>
      </c>
    </row>
    <row r="153" spans="1:13" x14ac:dyDescent="0.3">
      <c r="L153" s="4">
        <f>SUM(L2:L152)</f>
        <v>55.136672395150732</v>
      </c>
      <c r="M153" t="s">
        <v>25</v>
      </c>
    </row>
  </sheetData>
  <mergeCells count="7">
    <mergeCell ref="P19:P20"/>
    <mergeCell ref="R17:S17"/>
    <mergeCell ref="R5:V6"/>
    <mergeCell ref="Q13:V13"/>
    <mergeCell ref="Q14:V14"/>
    <mergeCell ref="Q15:V15"/>
    <mergeCell ref="Q16:V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D675-2144-4F12-8394-D10C27F07179}">
  <dimension ref="A1"/>
  <sheetViews>
    <sheetView workbookViewId="0">
      <selection activeCell="J1" sqref="J1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Deshpande</dc:creator>
  <cp:lastModifiedBy>SkR illeR</cp:lastModifiedBy>
  <dcterms:created xsi:type="dcterms:W3CDTF">2015-06-05T18:17:20Z</dcterms:created>
  <dcterms:modified xsi:type="dcterms:W3CDTF">2025-12-28T22:27:31Z</dcterms:modified>
</cp:coreProperties>
</file>