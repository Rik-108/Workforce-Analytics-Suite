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RA\Exam Prep\"/>
    </mc:Choice>
  </mc:AlternateContent>
  <xr:revisionPtr revIDLastSave="0" documentId="13_ncr:1_{3415BECE-CC08-48F7-9A37-C4B9E6085402}" xr6:coauthVersionLast="47" xr6:coauthVersionMax="47" xr10:uidLastSave="{00000000-0000-0000-0000-000000000000}"/>
  <bookViews>
    <workbookView xWindow="-108" yWindow="-108" windowWidth="23256" windowHeight="12456" activeTab="1" xr2:uid="{95E65D7B-6A4F-40CC-92D4-88121249FDAE}"/>
  </bookViews>
  <sheets>
    <sheet name="Hire Funnel" sheetId="1" r:id="rId1"/>
    <sheet name="Churn,Retention,Replacement" sheetId="2" r:id="rId2"/>
  </sheets>
  <definedNames>
    <definedName name="solver_adj" localSheetId="0" hidden="1">'Hire Funnel'!$G$6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'Hire Funnel'!$G$6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'Hire Funnel'!$G$11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hs1" localSheetId="0" hidden="1">"integer"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2" l="1"/>
  <c r="D24" i="2"/>
  <c r="D23" i="2"/>
  <c r="C23" i="2"/>
  <c r="D21" i="2"/>
  <c r="C21" i="2"/>
  <c r="D14" i="2"/>
  <c r="D15" i="2" s="1"/>
  <c r="D16" i="2" s="1"/>
  <c r="D17" i="2" s="1"/>
  <c r="D19" i="2" s="1"/>
  <c r="D20" i="2" s="1"/>
  <c r="C14" i="2"/>
  <c r="C15" i="2" s="1"/>
  <c r="C16" i="2" s="1"/>
  <c r="C17" i="2" s="1"/>
  <c r="C19" i="2" s="1"/>
  <c r="C20" i="2" s="1"/>
  <c r="G7" i="1"/>
  <c r="G8" i="1" s="1"/>
  <c r="G9" i="1" s="1"/>
  <c r="G10" i="1" s="1"/>
  <c r="G11" i="1" s="1"/>
  <c r="E7" i="1"/>
  <c r="E8" i="1" s="1"/>
  <c r="E9" i="1" s="1"/>
  <c r="E10" i="1" s="1"/>
  <c r="E11" i="1" s="1"/>
  <c r="C24" i="2" l="1"/>
  <c r="C25" i="2"/>
</calcChain>
</file>

<file path=xl/sharedStrings.xml><?xml version="1.0" encoding="utf-8"?>
<sst xmlns="http://schemas.openxmlformats.org/spreadsheetml/2006/main" count="41" uniqueCount="41">
  <si>
    <t>Round</t>
  </si>
  <si>
    <t>% of employees remaning from previous round</t>
  </si>
  <si>
    <t>Applications</t>
  </si>
  <si>
    <t>Screen</t>
  </si>
  <si>
    <t>Interview</t>
  </si>
  <si>
    <t>Hire</t>
  </si>
  <si>
    <t>Selection</t>
  </si>
  <si>
    <t>Join</t>
  </si>
  <si>
    <t>Needed</t>
  </si>
  <si>
    <t xml:space="preserve">Actual Employees- solver </t>
  </si>
  <si>
    <t>Actual Employees- Goal seek</t>
  </si>
  <si>
    <t>set cell</t>
  </si>
  <si>
    <t>by changing</t>
  </si>
  <si>
    <t xml:space="preserve">Company A </t>
  </si>
  <si>
    <t>Company B</t>
  </si>
  <si>
    <t>Employees on Jan 1st</t>
  </si>
  <si>
    <t>New Joinees</t>
  </si>
  <si>
    <t>Left from the original list (as on 31st december)</t>
  </si>
  <si>
    <t>Study Period</t>
  </si>
  <si>
    <t>Given</t>
  </si>
  <si>
    <t>End of Period Employees</t>
  </si>
  <si>
    <t>Average Employees</t>
  </si>
  <si>
    <t>LTR (Labour Turnover Rate)</t>
  </si>
  <si>
    <t>Annualized LTR</t>
  </si>
  <si>
    <t>Months</t>
  </si>
  <si>
    <t>Start + Joined - Left</t>
  </si>
  <si>
    <t>(Start+End)/2</t>
  </si>
  <si>
    <t>(Left/average)</t>
  </si>
  <si>
    <t>(LTR*12)</t>
  </si>
  <si>
    <t>Churn</t>
  </si>
  <si>
    <t>Retention</t>
  </si>
  <si>
    <t>Replacement</t>
  </si>
  <si>
    <t>same as Annual LTR</t>
  </si>
  <si>
    <t>1-Churn</t>
  </si>
  <si>
    <t>(Joined/Left)</t>
  </si>
  <si>
    <t>Stability</t>
  </si>
  <si>
    <t>Remaining/start</t>
  </si>
  <si>
    <t>Accession (hiring)</t>
  </si>
  <si>
    <t>Growth Rate</t>
  </si>
  <si>
    <t>(end-start)/start</t>
  </si>
  <si>
    <t>Joined/Average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</si>
</sst>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9" fontId="0" fillId="0" borderId="1" xfId="1" applyFont="1" applyBorder="1"/>
    <xf numFmtId="9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541020</xdr:colOff>
      <xdr:row>4</xdr:row>
      <xdr:rowOff>7620</xdr:rowOff>
    </xdr:from>
    <xdr:ext cx="4526280" cy="233127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ADC41E-0125-80C9-CD0D-F04CCC6B982B}"/>
            </a:ext>
          </a:extLst>
        </xdr:cNvPr>
        <xdr:cNvSpPr txBox="1"/>
      </xdr:nvSpPr>
      <xdr:spPr>
        <a:xfrm>
          <a:off x="4831080" y="739140"/>
          <a:ext cx="4526280" cy="233127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/>
            <a:t>You have been provided with workforce flow data for two competing firms, </a:t>
          </a:r>
          <a:r>
            <a:rPr lang="en-IN" b="1"/>
            <a:t>Company A</a:t>
          </a:r>
          <a:r>
            <a:rPr lang="en-IN"/>
            <a:t> and </a:t>
          </a:r>
          <a:r>
            <a:rPr lang="en-IN" b="1"/>
            <a:t>Company B</a:t>
          </a:r>
          <a:r>
            <a:rPr lang="en-IN"/>
            <a:t>, measured over different study periods in the same year.</a:t>
          </a:r>
        </a:p>
        <a:p>
          <a:endParaRPr lang="en-IN"/>
        </a:p>
        <a:p>
          <a:r>
            <a:rPr lang="en-IN" b="1"/>
            <a:t>Calculate the Period LTR:</a:t>
          </a:r>
          <a:r>
            <a:rPr lang="en-IN"/>
            <a:t> Determine the Labour Turnover Rate for each company within their respective study periods.</a:t>
          </a:r>
        </a:p>
        <a:p>
          <a:r>
            <a:rPr lang="en-IN" b="1"/>
            <a:t>Standardize the Metrics (Annualization):</a:t>
          </a:r>
          <a:r>
            <a:rPr lang="en-IN"/>
            <a:t> Since the study periods differ, calculate the </a:t>
          </a:r>
          <a:r>
            <a:rPr lang="en-IN" b="1"/>
            <a:t>Annualized LTR (Churn)</a:t>
          </a:r>
          <a:r>
            <a:rPr lang="en-IN"/>
            <a:t> for both companies to make a fair comparison.</a:t>
          </a:r>
        </a:p>
        <a:p>
          <a:r>
            <a:rPr lang="en-IN" b="1"/>
            <a:t>Analyze Growth/Shrinkage:</a:t>
          </a:r>
          <a:r>
            <a:rPr lang="en-IN"/>
            <a:t> Calculate the </a:t>
          </a:r>
          <a:r>
            <a:rPr lang="en-IN" b="1"/>
            <a:t>Replacement Rate</a:t>
          </a:r>
          <a:r>
            <a:rPr lang="en-IN"/>
            <a:t> for both companies. Which company is expanding, and which is downsizing?</a:t>
          </a:r>
        </a:p>
        <a:p>
          <a:r>
            <a:rPr lang="en-IN" b="1"/>
            <a:t>Conclusion:</a:t>
          </a:r>
          <a:r>
            <a:rPr lang="en-IN"/>
            <a:t> Based on the Annualized LTR, which company has better employee retention?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AE35-88B6-4E5B-A087-A6143F1749E7}">
  <dimension ref="B5:G12"/>
  <sheetViews>
    <sheetView workbookViewId="0">
      <selection activeCell="H6" sqref="H6"/>
    </sheetView>
  </sheetViews>
  <sheetFormatPr defaultRowHeight="14.4" x14ac:dyDescent="0.3"/>
  <cols>
    <col min="2" max="2" width="15.21875" customWidth="1"/>
    <col min="3" max="3" width="19.109375" customWidth="1"/>
    <col min="4" max="4" width="14.44140625" customWidth="1"/>
    <col min="5" max="5" width="15.5546875" customWidth="1"/>
    <col min="6" max="6" width="11" customWidth="1"/>
    <col min="7" max="7" width="14.88671875" customWidth="1"/>
  </cols>
  <sheetData>
    <row r="5" spans="2:7" ht="54" customHeight="1" x14ac:dyDescent="0.3">
      <c r="B5" s="1" t="s">
        <v>0</v>
      </c>
      <c r="C5" s="2" t="s">
        <v>1</v>
      </c>
      <c r="E5" s="5" t="s">
        <v>10</v>
      </c>
      <c r="G5" s="5" t="s">
        <v>9</v>
      </c>
    </row>
    <row r="6" spans="2:7" x14ac:dyDescent="0.3">
      <c r="B6" s="3" t="s">
        <v>2</v>
      </c>
      <c r="C6" s="3"/>
      <c r="E6" s="4">
        <v>28.571428571428573</v>
      </c>
      <c r="F6" t="s">
        <v>12</v>
      </c>
      <c r="G6" s="4">
        <v>28.571428571428282</v>
      </c>
    </row>
    <row r="7" spans="2:7" x14ac:dyDescent="0.3">
      <c r="B7" s="3" t="s">
        <v>3</v>
      </c>
      <c r="C7" s="3">
        <v>1</v>
      </c>
      <c r="E7" s="4">
        <f>E6*C7</f>
        <v>28.571428571428573</v>
      </c>
      <c r="G7" s="4">
        <f>G6*C7</f>
        <v>28.571428571428282</v>
      </c>
    </row>
    <row r="8" spans="2:7" x14ac:dyDescent="0.3">
      <c r="B8" s="3" t="s">
        <v>4</v>
      </c>
      <c r="C8" s="3">
        <v>0.7</v>
      </c>
      <c r="E8" s="4">
        <f>E7*C8</f>
        <v>20</v>
      </c>
      <c r="G8" s="4">
        <f>G7*C8</f>
        <v>19.999999999999797</v>
      </c>
    </row>
    <row r="9" spans="2:7" x14ac:dyDescent="0.3">
      <c r="B9" s="3" t="s">
        <v>5</v>
      </c>
      <c r="C9" s="3">
        <v>0.4</v>
      </c>
      <c r="E9" s="4">
        <f>E8*C9</f>
        <v>8</v>
      </c>
      <c r="G9" s="4">
        <f>G8*C9</f>
        <v>7.9999999999999192</v>
      </c>
    </row>
    <row r="10" spans="2:7" x14ac:dyDescent="0.3">
      <c r="B10" s="3" t="s">
        <v>6</v>
      </c>
      <c r="C10" s="3">
        <v>0.75</v>
      </c>
      <c r="E10" s="4">
        <f>E9*C10</f>
        <v>6</v>
      </c>
      <c r="G10" s="4">
        <f>G9*C10</f>
        <v>5.9999999999999396</v>
      </c>
    </row>
    <row r="11" spans="2:7" x14ac:dyDescent="0.3">
      <c r="B11" s="3" t="s">
        <v>7</v>
      </c>
      <c r="C11" s="3">
        <v>0.5</v>
      </c>
      <c r="E11" s="4">
        <f>E10*C11</f>
        <v>3</v>
      </c>
      <c r="F11" t="s">
        <v>11</v>
      </c>
      <c r="G11" s="4">
        <f>G10*C11</f>
        <v>2.9999999999999698</v>
      </c>
    </row>
    <row r="12" spans="2:7" x14ac:dyDescent="0.3">
      <c r="B12" s="3" t="s">
        <v>8</v>
      </c>
      <c r="C12" s="3"/>
      <c r="E12" s="4">
        <v>3</v>
      </c>
      <c r="G12" s="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2B8C-E3EC-46F1-A5D6-BE3C0863446D}">
  <dimension ref="B5:F25"/>
  <sheetViews>
    <sheetView tabSelected="1" zoomScale="90" zoomScaleNormal="90" workbookViewId="0">
      <selection activeCell="I16" sqref="I16"/>
    </sheetView>
  </sheetViews>
  <sheetFormatPr defaultRowHeight="14.4" x14ac:dyDescent="0.3"/>
  <cols>
    <col min="2" max="2" width="18.109375" customWidth="1"/>
  </cols>
  <sheetData>
    <row r="5" spans="2:6" x14ac:dyDescent="0.3">
      <c r="B5" s="7" t="s">
        <v>19</v>
      </c>
      <c r="C5" s="7"/>
      <c r="D5" s="7"/>
    </row>
    <row r="6" spans="2:6" ht="28.8" x14ac:dyDescent="0.3">
      <c r="B6" s="6"/>
      <c r="C6" s="6" t="s">
        <v>13</v>
      </c>
      <c r="D6" s="6" t="s">
        <v>14</v>
      </c>
    </row>
    <row r="7" spans="2:6" x14ac:dyDescent="0.3">
      <c r="B7" s="6" t="s">
        <v>15</v>
      </c>
      <c r="C7" s="6">
        <v>493</v>
      </c>
      <c r="D7" s="6">
        <v>145</v>
      </c>
    </row>
    <row r="8" spans="2:6" x14ac:dyDescent="0.3">
      <c r="B8" s="6" t="s">
        <v>16</v>
      </c>
      <c r="C8" s="6">
        <v>60</v>
      </c>
      <c r="D8" s="6">
        <v>30</v>
      </c>
    </row>
    <row r="9" spans="2:6" ht="43.2" x14ac:dyDescent="0.3">
      <c r="B9" s="6" t="s">
        <v>17</v>
      </c>
      <c r="C9" s="6">
        <v>105</v>
      </c>
      <c r="D9" s="6">
        <v>21</v>
      </c>
    </row>
    <row r="10" spans="2:6" x14ac:dyDescent="0.3">
      <c r="B10" s="6" t="s">
        <v>18</v>
      </c>
      <c r="C10" s="6">
        <v>8</v>
      </c>
      <c r="D10" s="6">
        <v>6</v>
      </c>
      <c r="E10" t="s">
        <v>24</v>
      </c>
    </row>
    <row r="14" spans="2:6" ht="28.8" x14ac:dyDescent="0.3">
      <c r="B14" s="8" t="s">
        <v>20</v>
      </c>
      <c r="C14" s="4">
        <f>C7+C8-C9</f>
        <v>448</v>
      </c>
      <c r="D14" s="4">
        <f>D7+D8-D9</f>
        <v>154</v>
      </c>
      <c r="E14" s="9" t="s">
        <v>25</v>
      </c>
      <c r="F14" s="9"/>
    </row>
    <row r="15" spans="2:6" x14ac:dyDescent="0.3">
      <c r="B15" s="8" t="s">
        <v>21</v>
      </c>
      <c r="C15" s="4">
        <f>(C7+C14)/2</f>
        <v>470.5</v>
      </c>
      <c r="D15" s="4">
        <f>(D7+D14)/2</f>
        <v>149.5</v>
      </c>
      <c r="E15" s="9" t="s">
        <v>26</v>
      </c>
      <c r="F15" s="9"/>
    </row>
    <row r="16" spans="2:6" ht="28.8" x14ac:dyDescent="0.3">
      <c r="B16" s="8" t="s">
        <v>22</v>
      </c>
      <c r="C16" s="10">
        <f>C9/C15</f>
        <v>0.22316684378320936</v>
      </c>
      <c r="D16" s="10">
        <f>D9/D15</f>
        <v>0.14046822742474915</v>
      </c>
      <c r="E16" s="9" t="s">
        <v>27</v>
      </c>
      <c r="F16" s="9"/>
    </row>
    <row r="17" spans="2:6" x14ac:dyDescent="0.3">
      <c r="B17" s="8" t="s">
        <v>23</v>
      </c>
      <c r="C17" s="10">
        <f>(C16/C10)*12</f>
        <v>0.33475026567481403</v>
      </c>
      <c r="D17" s="10">
        <f>(D16/D10)*12</f>
        <v>0.28093645484949831</v>
      </c>
      <c r="E17" s="9" t="s">
        <v>28</v>
      </c>
      <c r="F17" s="9"/>
    </row>
    <row r="19" spans="2:6" x14ac:dyDescent="0.3">
      <c r="B19" s="8" t="s">
        <v>29</v>
      </c>
      <c r="C19" s="11">
        <f>C17</f>
        <v>0.33475026567481403</v>
      </c>
      <c r="D19" s="11">
        <f>D17</f>
        <v>0.28093645484949831</v>
      </c>
      <c r="E19" s="9" t="s">
        <v>32</v>
      </c>
      <c r="F19" s="9"/>
    </row>
    <row r="20" spans="2:6" x14ac:dyDescent="0.3">
      <c r="B20" s="8" t="s">
        <v>30</v>
      </c>
      <c r="C20" s="11">
        <f>1-C19</f>
        <v>0.66524973432518597</v>
      </c>
      <c r="D20" s="11">
        <f>1-D19</f>
        <v>0.71906354515050164</v>
      </c>
      <c r="E20" s="9" t="s">
        <v>33</v>
      </c>
      <c r="F20" s="9"/>
    </row>
    <row r="21" spans="2:6" x14ac:dyDescent="0.3">
      <c r="B21" s="8" t="s">
        <v>31</v>
      </c>
      <c r="C21" s="10">
        <f>C8/C9</f>
        <v>0.5714285714285714</v>
      </c>
      <c r="D21" s="10">
        <f>D8/D9</f>
        <v>1.4285714285714286</v>
      </c>
      <c r="E21" s="9" t="s">
        <v>34</v>
      </c>
      <c r="F21" s="9"/>
    </row>
    <row r="23" spans="2:6" x14ac:dyDescent="0.3">
      <c r="B23" s="8" t="s">
        <v>35</v>
      </c>
      <c r="C23" s="10">
        <f>(C7-C9)/C7</f>
        <v>0.78701825557809335</v>
      </c>
      <c r="D23" s="10">
        <f>(D7-D9)/D7</f>
        <v>0.85517241379310349</v>
      </c>
      <c r="E23" s="9" t="s">
        <v>36</v>
      </c>
      <c r="F23" s="9"/>
    </row>
    <row r="24" spans="2:6" x14ac:dyDescent="0.3">
      <c r="B24" s="8" t="s">
        <v>37</v>
      </c>
      <c r="C24" s="10">
        <f>C8/C15</f>
        <v>0.1275239107332625</v>
      </c>
      <c r="D24" s="10">
        <f>D8/D15</f>
        <v>0.20066889632107024</v>
      </c>
      <c r="E24" s="9" t="s">
        <v>40</v>
      </c>
      <c r="F24" s="9"/>
    </row>
    <row r="25" spans="2:6" x14ac:dyDescent="0.3">
      <c r="B25" s="8" t="s">
        <v>38</v>
      </c>
      <c r="C25" s="10">
        <f>(C14-C7)/C7</f>
        <v>-9.1277890466531439E-2</v>
      </c>
      <c r="D25" s="10">
        <f>(D14-D7)/D7</f>
        <v>6.2068965517241378E-2</v>
      </c>
      <c r="E25" s="9" t="s">
        <v>39</v>
      </c>
      <c r="F25" s="9"/>
    </row>
  </sheetData>
  <mergeCells count="11">
    <mergeCell ref="E20:F20"/>
    <mergeCell ref="E21:F21"/>
    <mergeCell ref="E23:F23"/>
    <mergeCell ref="E24:F24"/>
    <mergeCell ref="E25:F25"/>
    <mergeCell ref="B5:D5"/>
    <mergeCell ref="E14:F14"/>
    <mergeCell ref="E15:F15"/>
    <mergeCell ref="E16:F16"/>
    <mergeCell ref="E17:F17"/>
    <mergeCell ref="E19:F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Hire Funnel</vt:lpstr>
      <vt:lpstr>Churn,Retention,Replacement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 illeR</dc:creator>
  <cp:lastModifiedBy>SkR illeR</cp:lastModifiedBy>
  <dcterms:created xsi:type="dcterms:W3CDTF">2025-12-28T06:10:42Z</dcterms:created>
  <dcterms:modified xsi:type="dcterms:W3CDTF">2025-12-28T10:34:05Z</dcterms:modified>
</cp:coreProperties>
</file>