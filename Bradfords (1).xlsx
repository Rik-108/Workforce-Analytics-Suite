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9C9A095E-7CDC-4771-A5A1-7364DDCC4662}" xr6:coauthVersionLast="47" xr6:coauthVersionMax="47" xr10:uidLastSave="{00000000-0000-0000-0000-000000000000}"/>
  <bookViews>
    <workbookView xWindow="-108" yWindow="-108" windowWidth="23256" windowHeight="12456" xr2:uid="{79259FB9-8111-4518-AC00-303529E60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5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L5" i="1"/>
  <c r="K5" i="1"/>
  <c r="J5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<sst xmlns="http://schemas.openxmlformats.org/spreadsheetml/2006/main" count="35" uniqueCount="35">
  <si>
    <t xml:space="preserve">Days absent </t>
  </si>
  <si>
    <t>Name</t>
  </si>
  <si>
    <t>Ches Bonnell</t>
  </si>
  <si>
    <t>Garwin Peasegood</t>
  </si>
  <si>
    <t>Saunders Blumson</t>
  </si>
  <si>
    <t>Gardy Grigorey</t>
  </si>
  <si>
    <t>Marlie Charsley</t>
  </si>
  <si>
    <t>Adella Hartshorne</t>
  </si>
  <si>
    <t>Rasla Fisby</t>
  </si>
  <si>
    <t>Willi Vasey</t>
  </si>
  <si>
    <t>Selby Hacker</t>
  </si>
  <si>
    <t>Stefa Eggleston</t>
  </si>
  <si>
    <t>Phylys Benitez</t>
  </si>
  <si>
    <t>Ronnie Sinyard</t>
  </si>
  <si>
    <t>Axel Grigaut</t>
  </si>
  <si>
    <t>Timmi Durran</t>
  </si>
  <si>
    <t>Minna Showler</t>
  </si>
  <si>
    <t>Dyanne Strafen</t>
  </si>
  <si>
    <t>Dorolice Farry</t>
  </si>
  <si>
    <t>Elliot Tuplin</t>
  </si>
  <si>
    <t>Lion Adcock</t>
  </si>
  <si>
    <t>Vic Radolf</t>
  </si>
  <si>
    <t>Tiffani Mecozzi</t>
  </si>
  <si>
    <t>Jeane Bermingham</t>
  </si>
  <si>
    <t>Gavan Puttan</t>
  </si>
  <si>
    <t>Danielle Johananoff</t>
  </si>
  <si>
    <t>Rafaelita Blaksland</t>
  </si>
  <si>
    <t>Spells</t>
  </si>
  <si>
    <t xml:space="preserve">total days </t>
  </si>
  <si>
    <t>Bradfords</t>
  </si>
  <si>
    <t>RANK</t>
  </si>
  <si>
    <t>Salary</t>
  </si>
  <si>
    <t>Economic Value</t>
  </si>
  <si>
    <t>Percentage Retained</t>
  </si>
  <si>
    <t>Rank Based On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</si>
</sst>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center"/>
    </xf>
  </cellStyleXfs>
  <cellXfs count="14">
    <xf numFmtId="0" fontId="0" fillId="0" borderId="0" xfId="0"/>
    <xf numFmtId="0" fontId="2" fillId="2" borderId="1" xfId="2" applyFill="1" applyBorder="1" applyAlignment="1">
      <alignment horizontal="center" vertical="center"/>
    </xf>
    <xf numFmtId="0" fontId="2" fillId="2" borderId="2" xfId="2" applyFill="1" applyBorder="1" applyAlignment="1">
      <alignment horizontal="center" vertical="center"/>
    </xf>
    <xf numFmtId="0" fontId="2" fillId="2" borderId="3" xfId="2" applyFill="1" applyBorder="1" applyAlignment="1">
      <alignment horizontal="center" vertical="center"/>
    </xf>
    <xf numFmtId="0" fontId="2" fillId="2" borderId="4" xfId="2" applyFill="1" applyBorder="1" applyAlignment="1">
      <alignment horizontal="center" vertical="center"/>
    </xf>
    <xf numFmtId="0" fontId="2" fillId="3" borderId="1" xfId="2" applyFill="1" applyBorder="1" applyAlignment="1">
      <alignment horizontal="center"/>
    </xf>
    <xf numFmtId="0" fontId="2" fillId="2" borderId="1" xfId="2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wrapText="1"/>
    </xf>
    <xf numFmtId="10" fontId="0" fillId="0" borderId="0" xfId="1" applyNumberFormat="1" applyFont="1"/>
  </cellXfs>
  <cellStyles count="3">
    <cellStyle name="Normal" xfId="0" builtinId="0"/>
    <cellStyle name="Normal 2" xfId="2" xr:uid="{DCBEE833-6D93-4238-ADFF-94E97455397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426720</xdr:colOff>
      <xdr:row>4</xdr:row>
      <xdr:rowOff>30480</xdr:rowOff>
    </xdr:from>
    <xdr:to>
      <xdr:col>23</xdr:col>
      <xdr:colOff>53340</xdr:colOff>
      <xdr:row>13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D3ABEC-AA2B-55B2-01EB-ECD491407FED}"/>
            </a:ext>
          </a:extLst>
        </xdr:cNvPr>
        <xdr:cNvSpPr txBox="1"/>
      </xdr:nvSpPr>
      <xdr:spPr>
        <a:xfrm>
          <a:off x="8854440" y="990600"/>
          <a:ext cx="3893820" cy="166878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Spells= Sum of</a:t>
          </a:r>
          <a:r>
            <a:rPr lang="en-IN" sz="1100" baseline="0"/>
            <a:t> days absent</a:t>
          </a:r>
        </a:p>
        <a:p>
          <a:r>
            <a:rPr lang="en-IN" sz="1100" baseline="0"/>
            <a:t>Total days= sumproduct(ref days*days absent)</a:t>
          </a:r>
        </a:p>
        <a:p>
          <a:r>
            <a:rPr lang="en-IN" sz="1100" baseline="0"/>
            <a:t>Bradfords= spells^2*total days</a:t>
          </a:r>
        </a:p>
        <a:p>
          <a:r>
            <a:rPr lang="en-IN" sz="1100" baseline="0"/>
            <a:t>rank= rankeq(bradford point,ref range,1)  fix the ref range by $</a:t>
          </a:r>
        </a:p>
        <a:p>
          <a:r>
            <a:rPr lang="en-IN" sz="1100" baseline="0"/>
            <a:t>Economic Value= Salary/1+(bradford/365)</a:t>
          </a:r>
        </a:p>
        <a:p>
          <a:r>
            <a:rPr lang="en-IN" sz="1100" baseline="0"/>
            <a:t>Percentage retained= 1- (salary-economic value)/salary</a:t>
          </a:r>
        </a:p>
        <a:p>
          <a:endParaRPr lang="en-IN" sz="1100" baseline="0"/>
        </a:p>
        <a:p>
          <a:endParaRPr lang="en-IN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BAF7-C327-48DB-BBD4-9AACB42340BB}">
  <dimension ref="A3:P29"/>
  <sheetViews>
    <sheetView tabSelected="1" workbookViewId="0">
      <selection activeCell="T16" sqref="T16"/>
    </sheetView>
  </sheetViews>
  <sheetFormatPr defaultRowHeight="14.4" x14ac:dyDescent="0.3"/>
  <cols>
    <col min="3" max="3" width="17.33203125" customWidth="1"/>
    <col min="4" max="4" width="4.44140625" customWidth="1"/>
    <col min="5" max="5" width="4.109375" customWidth="1"/>
    <col min="6" max="6" width="4.21875" customWidth="1"/>
    <col min="7" max="9" width="3.6640625" customWidth="1"/>
    <col min="15" max="15" width="10.6640625" style="11" customWidth="1"/>
  </cols>
  <sheetData>
    <row r="3" spans="1:16" x14ac:dyDescent="0.3">
      <c r="B3" s="1"/>
      <c r="C3" s="1"/>
      <c r="D3" s="2" t="s">
        <v>0</v>
      </c>
      <c r="E3" s="3"/>
      <c r="F3" s="3"/>
      <c r="G3" s="3"/>
      <c r="H3" s="3"/>
      <c r="I3" s="4"/>
    </row>
    <row r="4" spans="1:16" ht="32.4" customHeight="1" x14ac:dyDescent="0.3">
      <c r="A4" s="7" t="s">
        <v>31</v>
      </c>
      <c r="B4" s="1"/>
      <c r="C4" s="1" t="s">
        <v>1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10</v>
      </c>
      <c r="J4" t="s">
        <v>27</v>
      </c>
      <c r="K4" t="s">
        <v>28</v>
      </c>
      <c r="L4" t="s">
        <v>29</v>
      </c>
      <c r="M4" t="s">
        <v>30</v>
      </c>
      <c r="N4" s="9" t="s">
        <v>32</v>
      </c>
      <c r="O4" s="12" t="s">
        <v>33</v>
      </c>
      <c r="P4" t="s">
        <v>34</v>
      </c>
    </row>
    <row r="5" spans="1:16" x14ac:dyDescent="0.3">
      <c r="A5" s="8">
        <v>904410</v>
      </c>
      <c r="B5" s="1">
        <v>1</v>
      </c>
      <c r="C5" s="5" t="s">
        <v>2</v>
      </c>
      <c r="D5" s="1">
        <v>1</v>
      </c>
      <c r="E5" s="1">
        <v>1</v>
      </c>
      <c r="F5" s="1">
        <v>1</v>
      </c>
      <c r="G5" s="1">
        <v>1</v>
      </c>
      <c r="H5" s="1">
        <v>0</v>
      </c>
      <c r="I5" s="1">
        <v>1</v>
      </c>
      <c r="J5">
        <f>SUM(D5:I5)</f>
        <v>5</v>
      </c>
      <c r="K5">
        <f>SUMPRODUCT($D$4:$I$4,D5:I5)</f>
        <v>20</v>
      </c>
      <c r="L5">
        <f>J5^2*K5</f>
        <v>500</v>
      </c>
      <c r="M5">
        <f>_xlfn.RANK.EQ(L5,$L$5:$L$29,1)</f>
        <v>25</v>
      </c>
      <c r="N5">
        <f>$A5/(1+(L5/365))</f>
        <v>381629.6531791907</v>
      </c>
      <c r="O5" s="13">
        <f>1- ($A5- N5)/$A5</f>
        <v>0.4219653179190751</v>
      </c>
      <c r="P5" s="10">
        <f>_xlfn.RANK.EQ(O5,$O$5:$O$29,1)</f>
        <v>1</v>
      </c>
    </row>
    <row r="6" spans="1:16" x14ac:dyDescent="0.3">
      <c r="A6" s="8">
        <v>1333390</v>
      </c>
      <c r="B6" s="1">
        <f t="shared" ref="B6:B29" si="0">+B5+1</f>
        <v>2</v>
      </c>
      <c r="C6" s="6" t="s">
        <v>3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>
        <f t="shared" ref="J6:J29" si="1">SUM(D6:I6)</f>
        <v>2</v>
      </c>
      <c r="K6">
        <f t="shared" ref="K6:K29" si="2">SUMPRODUCT($D$4:$I$4,D6:I6)</f>
        <v>15</v>
      </c>
      <c r="L6">
        <f t="shared" ref="L6:L29" si="3">J6^2*K6</f>
        <v>60</v>
      </c>
      <c r="M6">
        <f t="shared" ref="M6:M29" si="4">_xlfn.RANK.EQ(L6,$L$5:$L$29,1)</f>
        <v>23</v>
      </c>
      <c r="N6">
        <f t="shared" ref="N6:N29" si="5">$A6/(1+(L6/365))</f>
        <v>1145146.705882353</v>
      </c>
      <c r="O6" s="13">
        <f t="shared" ref="O6:O29" si="6">1- ($A6- N6)/$A6</f>
        <v>0.85882352941176476</v>
      </c>
      <c r="P6" s="10">
        <f t="shared" ref="P6:P29" si="7">_xlfn.RANK.EQ(O6,$O$5:$O$29,1)</f>
        <v>3</v>
      </c>
    </row>
    <row r="7" spans="1:16" x14ac:dyDescent="0.3">
      <c r="A7" s="8">
        <v>940020</v>
      </c>
      <c r="B7" s="1">
        <f t="shared" si="0"/>
        <v>3</v>
      </c>
      <c r="C7" s="5" t="s">
        <v>4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>
        <f t="shared" si="1"/>
        <v>2</v>
      </c>
      <c r="K7">
        <f t="shared" si="2"/>
        <v>3</v>
      </c>
      <c r="L7">
        <f t="shared" si="3"/>
        <v>12</v>
      </c>
      <c r="M7">
        <f t="shared" si="4"/>
        <v>15</v>
      </c>
      <c r="N7">
        <f t="shared" si="5"/>
        <v>910098.93899204233</v>
      </c>
      <c r="O7" s="13">
        <f t="shared" si="6"/>
        <v>0.96816976127320942</v>
      </c>
      <c r="P7" s="10">
        <f t="shared" si="7"/>
        <v>9</v>
      </c>
    </row>
    <row r="8" spans="1:16" x14ac:dyDescent="0.3">
      <c r="A8" s="8">
        <v>1397040</v>
      </c>
      <c r="B8" s="1">
        <f t="shared" si="0"/>
        <v>4</v>
      </c>
      <c r="C8" s="6" t="s">
        <v>5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>
        <f t="shared" si="1"/>
        <v>2</v>
      </c>
      <c r="K8">
        <f t="shared" si="2"/>
        <v>3</v>
      </c>
      <c r="L8">
        <f t="shared" si="3"/>
        <v>12</v>
      </c>
      <c r="M8">
        <f t="shared" si="4"/>
        <v>15</v>
      </c>
      <c r="N8">
        <f t="shared" si="5"/>
        <v>1352571.8832891246</v>
      </c>
      <c r="O8" s="13">
        <f t="shared" si="6"/>
        <v>0.96816976127320953</v>
      </c>
      <c r="P8" s="10">
        <f t="shared" si="7"/>
        <v>10</v>
      </c>
    </row>
    <row r="9" spans="1:16" x14ac:dyDescent="0.3">
      <c r="A9" s="8">
        <v>1051500</v>
      </c>
      <c r="B9" s="1">
        <f t="shared" si="0"/>
        <v>5</v>
      </c>
      <c r="C9" s="5" t="s">
        <v>6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>
        <f t="shared" si="1"/>
        <v>1</v>
      </c>
      <c r="K9">
        <f t="shared" si="2"/>
        <v>1</v>
      </c>
      <c r="L9">
        <f t="shared" si="3"/>
        <v>1</v>
      </c>
      <c r="M9">
        <f t="shared" si="4"/>
        <v>2</v>
      </c>
      <c r="N9">
        <f t="shared" si="5"/>
        <v>1048627.0491803277</v>
      </c>
      <c r="O9" s="13">
        <f t="shared" si="6"/>
        <v>0.9972677595628413</v>
      </c>
      <c r="P9" s="10">
        <f t="shared" si="7"/>
        <v>20</v>
      </c>
    </row>
    <row r="10" spans="1:16" x14ac:dyDescent="0.3">
      <c r="A10" s="8">
        <v>960570</v>
      </c>
      <c r="B10" s="1">
        <f t="shared" si="0"/>
        <v>6</v>
      </c>
      <c r="C10" s="6" t="s">
        <v>7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>
        <f t="shared" si="1"/>
        <v>1</v>
      </c>
      <c r="K10">
        <f t="shared" si="2"/>
        <v>5</v>
      </c>
      <c r="L10">
        <f t="shared" si="3"/>
        <v>5</v>
      </c>
      <c r="M10">
        <f t="shared" si="4"/>
        <v>11</v>
      </c>
      <c r="N10">
        <f t="shared" si="5"/>
        <v>947589.32432432426</v>
      </c>
      <c r="O10" s="13">
        <f t="shared" si="6"/>
        <v>0.9864864864864864</v>
      </c>
      <c r="P10" s="10">
        <f t="shared" si="7"/>
        <v>14</v>
      </c>
    </row>
    <row r="11" spans="1:16" x14ac:dyDescent="0.3">
      <c r="A11" s="8">
        <v>1161740</v>
      </c>
      <c r="B11" s="1">
        <f t="shared" si="0"/>
        <v>7</v>
      </c>
      <c r="C11" s="5" t="s">
        <v>8</v>
      </c>
      <c r="D11" s="1">
        <v>1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>
        <f t="shared" si="1"/>
        <v>3</v>
      </c>
      <c r="K11">
        <f t="shared" si="2"/>
        <v>8</v>
      </c>
      <c r="L11">
        <f t="shared" si="3"/>
        <v>72</v>
      </c>
      <c r="M11">
        <f t="shared" si="4"/>
        <v>24</v>
      </c>
      <c r="N11">
        <f t="shared" si="5"/>
        <v>970332.03661327227</v>
      </c>
      <c r="O11" s="13">
        <f t="shared" si="6"/>
        <v>0.83524027459954231</v>
      </c>
      <c r="P11" s="10">
        <f t="shared" si="7"/>
        <v>2</v>
      </c>
    </row>
    <row r="12" spans="1:16" x14ac:dyDescent="0.3">
      <c r="A12" s="8">
        <v>1048360</v>
      </c>
      <c r="B12" s="1">
        <f t="shared" si="0"/>
        <v>8</v>
      </c>
      <c r="C12" s="6" t="s">
        <v>9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>
        <f t="shared" si="1"/>
        <v>1</v>
      </c>
      <c r="K12">
        <f t="shared" si="2"/>
        <v>2</v>
      </c>
      <c r="L12">
        <f t="shared" si="3"/>
        <v>2</v>
      </c>
      <c r="M12">
        <f t="shared" si="4"/>
        <v>7</v>
      </c>
      <c r="N12">
        <f t="shared" si="5"/>
        <v>1042646.8664850136</v>
      </c>
      <c r="O12" s="13">
        <f t="shared" si="6"/>
        <v>0.99455040871934608</v>
      </c>
      <c r="P12" s="10">
        <f t="shared" si="7"/>
        <v>19</v>
      </c>
    </row>
    <row r="13" spans="1:16" x14ac:dyDescent="0.3">
      <c r="A13" s="8">
        <v>1259780</v>
      </c>
      <c r="B13" s="1">
        <f t="shared" si="0"/>
        <v>9</v>
      </c>
      <c r="C13" s="5" t="s">
        <v>10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f t="shared" si="1"/>
        <v>1</v>
      </c>
      <c r="K13">
        <f t="shared" si="2"/>
        <v>1</v>
      </c>
      <c r="L13">
        <f t="shared" si="3"/>
        <v>1</v>
      </c>
      <c r="M13">
        <f t="shared" si="4"/>
        <v>2</v>
      </c>
      <c r="N13">
        <f t="shared" si="5"/>
        <v>1256337.9781420764</v>
      </c>
      <c r="O13" s="13">
        <f t="shared" si="6"/>
        <v>0.99726775956284142</v>
      </c>
      <c r="P13" s="10">
        <f t="shared" si="7"/>
        <v>22</v>
      </c>
    </row>
    <row r="14" spans="1:16" x14ac:dyDescent="0.3">
      <c r="A14" s="8">
        <v>1157470</v>
      </c>
      <c r="B14" s="1">
        <f t="shared" si="0"/>
        <v>10</v>
      </c>
      <c r="C14" s="6" t="s">
        <v>11</v>
      </c>
      <c r="D14" s="1">
        <v>1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>
        <f t="shared" si="1"/>
        <v>3</v>
      </c>
      <c r="K14">
        <f t="shared" si="2"/>
        <v>6</v>
      </c>
      <c r="L14">
        <f t="shared" si="3"/>
        <v>54</v>
      </c>
      <c r="M14">
        <f t="shared" si="4"/>
        <v>22</v>
      </c>
      <c r="N14">
        <f t="shared" si="5"/>
        <v>1008297.2553699283</v>
      </c>
      <c r="O14" s="13">
        <f t="shared" si="6"/>
        <v>0.87112171837708829</v>
      </c>
      <c r="P14" s="10">
        <f t="shared" si="7"/>
        <v>4</v>
      </c>
    </row>
    <row r="15" spans="1:16" x14ac:dyDescent="0.3">
      <c r="A15" s="8">
        <v>1043110</v>
      </c>
      <c r="B15" s="1">
        <f t="shared" si="0"/>
        <v>11</v>
      </c>
      <c r="C15" s="5" t="s">
        <v>12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>
        <f t="shared" si="1"/>
        <v>2</v>
      </c>
      <c r="K15">
        <f t="shared" si="2"/>
        <v>5</v>
      </c>
      <c r="L15">
        <f t="shared" si="3"/>
        <v>20</v>
      </c>
      <c r="M15">
        <f t="shared" si="4"/>
        <v>19</v>
      </c>
      <c r="N15">
        <f t="shared" si="5"/>
        <v>988922.46753246756</v>
      </c>
      <c r="O15" s="13">
        <f t="shared" si="6"/>
        <v>0.94805194805194803</v>
      </c>
      <c r="P15" s="10">
        <f t="shared" si="7"/>
        <v>6</v>
      </c>
    </row>
    <row r="16" spans="1:16" x14ac:dyDescent="0.3">
      <c r="A16" s="8">
        <v>802810</v>
      </c>
      <c r="B16" s="1">
        <f t="shared" si="0"/>
        <v>12</v>
      </c>
      <c r="C16" s="6" t="s">
        <v>13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>
        <f t="shared" si="1"/>
        <v>2</v>
      </c>
      <c r="K16">
        <f t="shared" si="2"/>
        <v>7</v>
      </c>
      <c r="L16">
        <f t="shared" si="3"/>
        <v>28</v>
      </c>
      <c r="M16">
        <f t="shared" si="4"/>
        <v>21</v>
      </c>
      <c r="N16">
        <f t="shared" si="5"/>
        <v>745612.34096692118</v>
      </c>
      <c r="O16" s="13">
        <f t="shared" si="6"/>
        <v>0.92875318066157764</v>
      </c>
      <c r="P16" s="10">
        <f t="shared" si="7"/>
        <v>5</v>
      </c>
    </row>
    <row r="17" spans="1:16" x14ac:dyDescent="0.3">
      <c r="A17" s="8">
        <v>1473490</v>
      </c>
      <c r="B17" s="1">
        <f t="shared" si="0"/>
        <v>13</v>
      </c>
      <c r="C17" s="5" t="s">
        <v>14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1</v>
      </c>
      <c r="N17">
        <f t="shared" si="5"/>
        <v>1473490</v>
      </c>
      <c r="O17" s="13">
        <f t="shared" si="6"/>
        <v>1</v>
      </c>
      <c r="P17" s="10">
        <f t="shared" si="7"/>
        <v>25</v>
      </c>
    </row>
    <row r="18" spans="1:16" x14ac:dyDescent="0.3">
      <c r="A18" s="8">
        <v>1028480</v>
      </c>
      <c r="B18" s="1">
        <f t="shared" si="0"/>
        <v>14</v>
      </c>
      <c r="C18" s="6" t="s">
        <v>15</v>
      </c>
      <c r="D18" s="1">
        <v>0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>
        <f t="shared" si="1"/>
        <v>1</v>
      </c>
      <c r="K18">
        <f t="shared" si="2"/>
        <v>4</v>
      </c>
      <c r="L18">
        <f t="shared" si="3"/>
        <v>4</v>
      </c>
      <c r="M18">
        <f t="shared" si="4"/>
        <v>10</v>
      </c>
      <c r="N18">
        <f t="shared" si="5"/>
        <v>1017331.1653116532</v>
      </c>
      <c r="O18" s="13">
        <f t="shared" si="6"/>
        <v>0.98915989159891604</v>
      </c>
      <c r="P18" s="10">
        <f t="shared" si="7"/>
        <v>16</v>
      </c>
    </row>
    <row r="19" spans="1:16" x14ac:dyDescent="0.3">
      <c r="A19" s="8">
        <v>819960</v>
      </c>
      <c r="B19" s="1">
        <f t="shared" si="0"/>
        <v>15</v>
      </c>
      <c r="C19" s="5" t="s">
        <v>16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>
        <f t="shared" si="1"/>
        <v>2</v>
      </c>
      <c r="K19">
        <f t="shared" si="2"/>
        <v>5</v>
      </c>
      <c r="L19">
        <f t="shared" si="3"/>
        <v>20</v>
      </c>
      <c r="M19">
        <f t="shared" si="4"/>
        <v>19</v>
      </c>
      <c r="N19">
        <f t="shared" si="5"/>
        <v>777364.67532467528</v>
      </c>
      <c r="O19" s="13">
        <f t="shared" si="6"/>
        <v>0.94805194805194803</v>
      </c>
      <c r="P19" s="10">
        <f t="shared" si="7"/>
        <v>6</v>
      </c>
    </row>
    <row r="20" spans="1:16" x14ac:dyDescent="0.3">
      <c r="A20" s="8">
        <v>1164310</v>
      </c>
      <c r="B20" s="1">
        <f t="shared" si="0"/>
        <v>16</v>
      </c>
      <c r="C20" s="6" t="s">
        <v>17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>
        <f t="shared" si="1"/>
        <v>1</v>
      </c>
      <c r="K20">
        <f t="shared" si="2"/>
        <v>3</v>
      </c>
      <c r="L20">
        <f t="shared" si="3"/>
        <v>3</v>
      </c>
      <c r="M20">
        <f t="shared" si="4"/>
        <v>8</v>
      </c>
      <c r="N20">
        <f t="shared" si="5"/>
        <v>1154818.3423913042</v>
      </c>
      <c r="O20" s="13">
        <f t="shared" si="6"/>
        <v>0.99184782608695643</v>
      </c>
      <c r="P20" s="10">
        <f t="shared" si="7"/>
        <v>17</v>
      </c>
    </row>
    <row r="21" spans="1:16" x14ac:dyDescent="0.3">
      <c r="A21" s="8">
        <v>1361250</v>
      </c>
      <c r="B21" s="1">
        <f t="shared" si="0"/>
        <v>17</v>
      </c>
      <c r="C21" s="5" t="s">
        <v>18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>
        <f t="shared" si="1"/>
        <v>1</v>
      </c>
      <c r="K21">
        <f t="shared" si="2"/>
        <v>1</v>
      </c>
      <c r="L21">
        <f t="shared" si="3"/>
        <v>1</v>
      </c>
      <c r="M21">
        <f t="shared" si="4"/>
        <v>2</v>
      </c>
      <c r="N21">
        <f t="shared" si="5"/>
        <v>1357530.7377049178</v>
      </c>
      <c r="O21" s="13">
        <f t="shared" si="6"/>
        <v>0.9972677595628413</v>
      </c>
      <c r="P21" s="10">
        <f t="shared" si="7"/>
        <v>20</v>
      </c>
    </row>
    <row r="22" spans="1:16" x14ac:dyDescent="0.3">
      <c r="A22" s="8">
        <v>1258340</v>
      </c>
      <c r="B22" s="1">
        <f t="shared" si="0"/>
        <v>18</v>
      </c>
      <c r="C22" s="6" t="s">
        <v>19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>
        <f t="shared" si="1"/>
        <v>1</v>
      </c>
      <c r="K22">
        <f t="shared" si="2"/>
        <v>1</v>
      </c>
      <c r="L22">
        <f t="shared" si="3"/>
        <v>1</v>
      </c>
      <c r="M22">
        <f t="shared" si="4"/>
        <v>2</v>
      </c>
      <c r="N22">
        <f t="shared" si="5"/>
        <v>1254901.9125683059</v>
      </c>
      <c r="O22" s="13">
        <f t="shared" si="6"/>
        <v>0.99726775956284142</v>
      </c>
      <c r="P22" s="10">
        <f t="shared" si="7"/>
        <v>22</v>
      </c>
    </row>
    <row r="23" spans="1:16" x14ac:dyDescent="0.3">
      <c r="A23" s="8">
        <v>1039090</v>
      </c>
      <c r="B23" s="1">
        <f t="shared" si="0"/>
        <v>19</v>
      </c>
      <c r="C23" s="5" t="s">
        <v>20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>
        <f t="shared" si="1"/>
        <v>1</v>
      </c>
      <c r="K23">
        <f t="shared" si="2"/>
        <v>10</v>
      </c>
      <c r="L23">
        <f t="shared" si="3"/>
        <v>10</v>
      </c>
      <c r="M23">
        <f t="shared" si="4"/>
        <v>13</v>
      </c>
      <c r="N23">
        <f t="shared" si="5"/>
        <v>1011380.9333333332</v>
      </c>
      <c r="O23" s="13">
        <f t="shared" si="6"/>
        <v>0.97333333333333327</v>
      </c>
      <c r="P23" s="10">
        <f t="shared" si="7"/>
        <v>12</v>
      </c>
    </row>
    <row r="24" spans="1:16" x14ac:dyDescent="0.3">
      <c r="A24" s="8">
        <v>1277160</v>
      </c>
      <c r="B24" s="1">
        <f t="shared" si="0"/>
        <v>20</v>
      </c>
      <c r="C24" s="6" t="s">
        <v>21</v>
      </c>
      <c r="D24" s="1">
        <v>1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>
        <f t="shared" si="1"/>
        <v>2</v>
      </c>
      <c r="K24">
        <f t="shared" si="2"/>
        <v>4</v>
      </c>
      <c r="L24">
        <f t="shared" si="3"/>
        <v>16</v>
      </c>
      <c r="M24">
        <f t="shared" si="4"/>
        <v>18</v>
      </c>
      <c r="N24">
        <f t="shared" si="5"/>
        <v>1223525.9842519686</v>
      </c>
      <c r="O24" s="13">
        <f t="shared" si="6"/>
        <v>0.95800524934383202</v>
      </c>
      <c r="P24" s="10">
        <f t="shared" si="7"/>
        <v>8</v>
      </c>
    </row>
    <row r="25" spans="1:16" x14ac:dyDescent="0.3">
      <c r="A25" s="8">
        <v>1299910</v>
      </c>
      <c r="B25" s="1">
        <f t="shared" si="0"/>
        <v>21</v>
      </c>
      <c r="C25" s="5" t="s">
        <v>22</v>
      </c>
      <c r="D25" s="1">
        <v>1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>
        <f t="shared" si="1"/>
        <v>2</v>
      </c>
      <c r="K25">
        <f t="shared" si="2"/>
        <v>3</v>
      </c>
      <c r="L25">
        <f t="shared" si="3"/>
        <v>12</v>
      </c>
      <c r="M25">
        <f t="shared" si="4"/>
        <v>15</v>
      </c>
      <c r="N25">
        <f t="shared" si="5"/>
        <v>1258533.5543766578</v>
      </c>
      <c r="O25" s="13">
        <f t="shared" si="6"/>
        <v>0.96816976127320953</v>
      </c>
      <c r="P25" s="10">
        <f t="shared" si="7"/>
        <v>10</v>
      </c>
    </row>
    <row r="26" spans="1:16" x14ac:dyDescent="0.3">
      <c r="A26" s="8">
        <v>892060</v>
      </c>
      <c r="B26" s="1">
        <f t="shared" si="0"/>
        <v>22</v>
      </c>
      <c r="C26" s="6" t="s">
        <v>23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>
        <f t="shared" si="1"/>
        <v>1</v>
      </c>
      <c r="K26">
        <f t="shared" si="2"/>
        <v>3</v>
      </c>
      <c r="L26">
        <f t="shared" si="3"/>
        <v>3</v>
      </c>
      <c r="M26">
        <f t="shared" si="4"/>
        <v>8</v>
      </c>
      <c r="N26">
        <f t="shared" si="5"/>
        <v>884787.77173913037</v>
      </c>
      <c r="O26" s="13">
        <f t="shared" si="6"/>
        <v>0.99184782608695643</v>
      </c>
      <c r="P26" s="10">
        <f t="shared" si="7"/>
        <v>17</v>
      </c>
    </row>
    <row r="27" spans="1:16" x14ac:dyDescent="0.3">
      <c r="A27" s="8">
        <v>1408670</v>
      </c>
      <c r="B27" s="1">
        <f t="shared" si="0"/>
        <v>23</v>
      </c>
      <c r="C27" s="5" t="s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>
        <f t="shared" si="1"/>
        <v>1</v>
      </c>
      <c r="K27">
        <f t="shared" si="2"/>
        <v>10</v>
      </c>
      <c r="L27">
        <f t="shared" si="3"/>
        <v>10</v>
      </c>
      <c r="M27">
        <f t="shared" si="4"/>
        <v>13</v>
      </c>
      <c r="N27">
        <f t="shared" si="5"/>
        <v>1371105.4666666666</v>
      </c>
      <c r="O27" s="13">
        <f t="shared" si="6"/>
        <v>0.97333333333333327</v>
      </c>
      <c r="P27" s="10">
        <f t="shared" si="7"/>
        <v>12</v>
      </c>
    </row>
    <row r="28" spans="1:16" x14ac:dyDescent="0.3">
      <c r="A28" s="8">
        <v>1288210</v>
      </c>
      <c r="B28" s="1">
        <f t="shared" si="0"/>
        <v>24</v>
      </c>
      <c r="C28" s="6" t="s">
        <v>25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>
        <f t="shared" si="1"/>
        <v>1</v>
      </c>
      <c r="K28">
        <f t="shared" si="2"/>
        <v>5</v>
      </c>
      <c r="L28">
        <f t="shared" si="3"/>
        <v>5</v>
      </c>
      <c r="M28">
        <f t="shared" si="4"/>
        <v>11</v>
      </c>
      <c r="N28">
        <f t="shared" si="5"/>
        <v>1270801.7567567567</v>
      </c>
      <c r="O28" s="13">
        <f t="shared" si="6"/>
        <v>0.9864864864864864</v>
      </c>
      <c r="P28" s="10">
        <f t="shared" si="7"/>
        <v>14</v>
      </c>
    </row>
    <row r="29" spans="1:16" x14ac:dyDescent="0.3">
      <c r="A29" s="8">
        <v>916170</v>
      </c>
      <c r="B29" s="1">
        <f t="shared" si="0"/>
        <v>25</v>
      </c>
      <c r="C29" s="5" t="s">
        <v>26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>
        <f t="shared" si="1"/>
        <v>1</v>
      </c>
      <c r="K29">
        <f t="shared" si="2"/>
        <v>1</v>
      </c>
      <c r="L29">
        <f t="shared" si="3"/>
        <v>1</v>
      </c>
      <c r="M29">
        <f t="shared" si="4"/>
        <v>2</v>
      </c>
      <c r="N29">
        <f t="shared" si="5"/>
        <v>913666.80327868846</v>
      </c>
      <c r="O29" s="13">
        <f t="shared" si="6"/>
        <v>0.99726775956284142</v>
      </c>
      <c r="P29" s="10">
        <f t="shared" si="7"/>
        <v>22</v>
      </c>
    </row>
  </sheetData>
  <mergeCells count="1">
    <mergeCell ref="D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2025-12-28T12:10:29Z</dcterms:created>
  <dcterms:modified xsi:type="dcterms:W3CDTF">2025-12-28T12:32:54Z</dcterms:modified>
</cp:coreProperties>
</file>