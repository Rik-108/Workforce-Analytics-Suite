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RA\Exam Prep\"/>
    </mc:Choice>
  </mc:AlternateContent>
  <xr:revisionPtr revIDLastSave="0" documentId="13_ncr:1_{04E1777A-015B-462A-95E7-ED3792B6B816}" xr6:coauthVersionLast="47" xr6:coauthVersionMax="47" xr10:uidLastSave="{00000000-0000-0000-0000-000000000000}"/>
  <bookViews>
    <workbookView xWindow="-108" yWindow="-108" windowWidth="23256" windowHeight="12456" xr2:uid="{359DBF95-09EE-4D4F-8495-ADA2A91AC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4" i="1" l="1"/>
  <c r="M26" i="1"/>
  <c r="L26" i="1"/>
  <c r="N25" i="1"/>
  <c r="K16" i="1" l="1"/>
  <c r="J18" i="1" s="1"/>
  <c r="K9" i="1"/>
  <c r="J16" i="1"/>
  <c r="J17" i="1"/>
  <c r="K14" i="1"/>
  <c r="K8" i="1"/>
  <c r="K7" i="1"/>
  <c r="J15" i="1"/>
  <c r="J14" i="1"/>
  <c r="J12" i="1"/>
  <c r="J11" i="1"/>
  <c r="J10" i="1"/>
  <c r="J9" i="1"/>
  <c r="J8" i="1"/>
  <c r="J7" i="1"/>
</calcChain>
</file>

<file path=xl/sharedStrings.xml><?xml version="1.0" encoding="utf-8"?>
<sst xmlns="http://schemas.openxmlformats.org/spreadsheetml/2006/main" count="159" uniqueCount="74">
  <si>
    <t>Nos.</t>
  </si>
  <si>
    <t>Recuited</t>
  </si>
  <si>
    <t>Superior Rating (Score out of 100)</t>
  </si>
  <si>
    <t>Status</t>
  </si>
  <si>
    <t>Churn</t>
  </si>
  <si>
    <t>Chandrasekhar P</t>
  </si>
  <si>
    <t>Existing</t>
  </si>
  <si>
    <t>Retained</t>
  </si>
  <si>
    <t>Praveen Kumar K</t>
  </si>
  <si>
    <t>Left</t>
  </si>
  <si>
    <t>Sreenath A N</t>
  </si>
  <si>
    <t>New</t>
  </si>
  <si>
    <t>Sivaramakrishnan R</t>
  </si>
  <si>
    <t>Gita N Murthy</t>
  </si>
  <si>
    <t>Ananda G</t>
  </si>
  <si>
    <t>Satheesh Babu P.S</t>
  </si>
  <si>
    <t>Jayabharathi S</t>
  </si>
  <si>
    <t>Latha C</t>
  </si>
  <si>
    <t>Jyothi H R</t>
  </si>
  <si>
    <t>Anil Kumar G</t>
  </si>
  <si>
    <t>Leelavathi M R</t>
  </si>
  <si>
    <t>Vivek A</t>
  </si>
  <si>
    <t>N Veeranji Kumar</t>
  </si>
  <si>
    <t>Chandrika S. Shanbhag</t>
  </si>
  <si>
    <t>Vootla Sreekanth</t>
  </si>
  <si>
    <t>B K Suneetha</t>
  </si>
  <si>
    <t>Narasimhalu</t>
  </si>
  <si>
    <t>Somasekhara M</t>
  </si>
  <si>
    <t>Suresha</t>
  </si>
  <si>
    <t>Sridhar B</t>
  </si>
  <si>
    <t>Zaheer Begum M</t>
  </si>
  <si>
    <t>Madhuram Subramani</t>
  </si>
  <si>
    <t>Lakshmikantha N</t>
  </si>
  <si>
    <t>Sowbhagya S</t>
  </si>
  <si>
    <t>Prasanna D L</t>
  </si>
  <si>
    <t>Swaminathan S</t>
  </si>
  <si>
    <t>Pradeep</t>
  </si>
  <si>
    <t>Kavya V</t>
  </si>
  <si>
    <t>Asha B.M</t>
  </si>
  <si>
    <t>Raghavendra Rao R</t>
  </si>
  <si>
    <t>Venkatachalapathy T</t>
  </si>
  <si>
    <t>Nazeer Begum M</t>
  </si>
  <si>
    <t>Thangarajan K</t>
  </si>
  <si>
    <t>Bharathi Bai K</t>
  </si>
  <si>
    <t>Roshan E S</t>
  </si>
  <si>
    <t>Elango G</t>
  </si>
  <si>
    <t>Siddeswara T</t>
  </si>
  <si>
    <t>Suma M B</t>
  </si>
  <si>
    <t>Rakshit R</t>
  </si>
  <si>
    <t>Varun Kumar A</t>
  </si>
  <si>
    <t>Varadaraju P</t>
  </si>
  <si>
    <t>Jayamary A</t>
  </si>
  <si>
    <t>Subba Rao G</t>
  </si>
  <si>
    <t>Overall Average</t>
  </si>
  <si>
    <t>Existing Average</t>
  </si>
  <si>
    <t>New Average</t>
  </si>
  <si>
    <t>Average Exting &amp; Retained</t>
  </si>
  <si>
    <t>Average New &amp; Retained</t>
  </si>
  <si>
    <t>Average New &amp; Left</t>
  </si>
  <si>
    <t>Count Left</t>
  </si>
  <si>
    <t>Count Retained</t>
  </si>
  <si>
    <t>Total count</t>
  </si>
  <si>
    <t>Percentage</t>
  </si>
  <si>
    <t>Quality of hire</t>
  </si>
  <si>
    <t>{%of overall avg+(1-%of Left)}/2</t>
  </si>
  <si>
    <t>Count New Retained</t>
  </si>
  <si>
    <t>(Overall avg+new Avg+Count new retained)/3</t>
  </si>
  <si>
    <t>A</t>
  </si>
  <si>
    <t>B</t>
  </si>
  <si>
    <t>Retained (Next Year)</t>
  </si>
  <si>
    <t>Left (Next Year)</t>
  </si>
  <si>
    <t>Retained (Now)</t>
  </si>
  <si>
    <t>Left (Now)</t>
  </si>
  <si>
    <t>Equilibrium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</si>
</sst>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173B6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9" fontId="0" fillId="0" borderId="0" xfId="1" applyFont="1"/>
    <xf numFmtId="9" fontId="0" fillId="3" borderId="0" xfId="1" applyFont="1" applyFill="1"/>
    <xf numFmtId="9" fontId="0" fillId="4" borderId="0" xfId="1" applyFont="1" applyFill="1"/>
    <xf numFmtId="0" fontId="0" fillId="4" borderId="1" xfId="0" applyFill="1" applyBorder="1"/>
    <xf numFmtId="9" fontId="0" fillId="4" borderId="1" xfId="1" applyFont="1" applyFill="1" applyBorder="1"/>
    <xf numFmtId="0" fontId="0" fillId="0" borderId="1" xfId="0" applyBorder="1"/>
    <xf numFmtId="0" fontId="0" fillId="3" borderId="1" xfId="0" applyFill="1" applyBorder="1"/>
    <xf numFmtId="9" fontId="0" fillId="3" borderId="1" xfId="1" applyFont="1" applyFill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3A50-E4C1-4434-98FE-5C07CBDFBC59}">
  <dimension ref="B3:N47"/>
  <sheetViews>
    <sheetView tabSelected="1" topLeftCell="A5" workbookViewId="0">
      <selection activeCell="N26" sqref="N26"/>
    </sheetView>
  </sheetViews>
  <sheetFormatPr defaultRowHeight="14.4" x14ac:dyDescent="0.3"/>
  <cols>
    <col min="3" max="3" width="25.6640625" customWidth="1"/>
    <col min="4" max="4" width="16.33203125" customWidth="1"/>
    <col min="5" max="5" width="11.77734375" customWidth="1"/>
    <col min="6" max="6" width="13" customWidth="1"/>
    <col min="9" max="9" width="21.21875" customWidth="1"/>
    <col min="11" max="11" width="13.77734375" style="6" customWidth="1"/>
    <col min="12" max="12" width="17.44140625" customWidth="1"/>
    <col min="13" max="13" width="12.88671875" customWidth="1"/>
  </cols>
  <sheetData>
    <row r="3" spans="2:11" ht="42" x14ac:dyDescent="0.3">
      <c r="B3" s="2" t="s">
        <v>0</v>
      </c>
      <c r="C3" s="1" t="s">
        <v>1</v>
      </c>
      <c r="D3" s="3" t="s">
        <v>2</v>
      </c>
      <c r="E3" s="3" t="s">
        <v>3</v>
      </c>
      <c r="F3" s="3" t="s">
        <v>4</v>
      </c>
    </row>
    <row r="4" spans="2:11" ht="15" x14ac:dyDescent="0.3">
      <c r="B4" s="2">
        <v>1</v>
      </c>
      <c r="C4" s="4" t="s">
        <v>5</v>
      </c>
      <c r="D4" s="2">
        <v>65</v>
      </c>
      <c r="E4" s="2" t="s">
        <v>6</v>
      </c>
      <c r="F4" s="2" t="s">
        <v>7</v>
      </c>
    </row>
    <row r="5" spans="2:11" ht="15" x14ac:dyDescent="0.3">
      <c r="B5" s="2">
        <v>2</v>
      </c>
      <c r="C5" s="5" t="s">
        <v>8</v>
      </c>
      <c r="D5" s="2">
        <v>55</v>
      </c>
      <c r="E5" s="2" t="s">
        <v>6</v>
      </c>
      <c r="F5" s="2" t="s">
        <v>9</v>
      </c>
    </row>
    <row r="6" spans="2:11" ht="15" x14ac:dyDescent="0.3">
      <c r="B6" s="2">
        <v>3</v>
      </c>
      <c r="C6" s="4" t="s">
        <v>10</v>
      </c>
      <c r="D6" s="2">
        <v>79</v>
      </c>
      <c r="E6" s="2" t="s">
        <v>11</v>
      </c>
      <c r="F6" s="2" t="s">
        <v>7</v>
      </c>
      <c r="I6" s="11"/>
      <c r="J6" s="11"/>
      <c r="K6" s="6" t="s">
        <v>62</v>
      </c>
    </row>
    <row r="7" spans="2:11" ht="15" x14ac:dyDescent="0.3">
      <c r="B7" s="2">
        <v>4</v>
      </c>
      <c r="C7" s="4" t="s">
        <v>12</v>
      </c>
      <c r="D7" s="2">
        <v>79</v>
      </c>
      <c r="E7" s="2" t="s">
        <v>11</v>
      </c>
      <c r="F7" s="2" t="s">
        <v>7</v>
      </c>
      <c r="I7" s="11" t="s">
        <v>53</v>
      </c>
      <c r="J7" s="11">
        <f>AVERAGE(D4:D47)</f>
        <v>55.613636363636367</v>
      </c>
      <c r="K7" s="7">
        <f>J7/100</f>
        <v>0.55613636363636365</v>
      </c>
    </row>
    <row r="8" spans="2:11" ht="15" x14ac:dyDescent="0.3">
      <c r="B8" s="2">
        <v>5</v>
      </c>
      <c r="C8" s="5" t="s">
        <v>13</v>
      </c>
      <c r="D8" s="2">
        <v>85</v>
      </c>
      <c r="E8" s="2" t="s">
        <v>11</v>
      </c>
      <c r="F8" s="2" t="s">
        <v>7</v>
      </c>
      <c r="I8" s="11" t="s">
        <v>54</v>
      </c>
      <c r="J8" s="11">
        <f>AVERAGEIF(E4:E47,"Existing",D4:D47)</f>
        <v>55.25</v>
      </c>
      <c r="K8" s="6">
        <f>J8/100</f>
        <v>0.55249999999999999</v>
      </c>
    </row>
    <row r="9" spans="2:11" ht="15" x14ac:dyDescent="0.3">
      <c r="B9" s="2">
        <v>6</v>
      </c>
      <c r="C9" s="4" t="s">
        <v>14</v>
      </c>
      <c r="D9" s="2">
        <v>34</v>
      </c>
      <c r="E9" s="2" t="s">
        <v>11</v>
      </c>
      <c r="F9" s="2" t="s">
        <v>7</v>
      </c>
      <c r="I9" s="11" t="s">
        <v>55</v>
      </c>
      <c r="J9" s="11">
        <f>AVERAGEIF(E4:E47,"New",D4:D47)</f>
        <v>56.25</v>
      </c>
      <c r="K9" s="8">
        <f>J9/100</f>
        <v>0.5625</v>
      </c>
    </row>
    <row r="10" spans="2:11" ht="15" x14ac:dyDescent="0.3">
      <c r="B10" s="2">
        <v>7</v>
      </c>
      <c r="C10" s="4" t="s">
        <v>15</v>
      </c>
      <c r="D10" s="2">
        <v>31</v>
      </c>
      <c r="E10" s="2" t="s">
        <v>6</v>
      </c>
      <c r="F10" s="2" t="s">
        <v>7</v>
      </c>
      <c r="I10" s="11" t="s">
        <v>56</v>
      </c>
      <c r="J10" s="11">
        <f>AVERAGEIFS(D4:D47,E4:E47,"Existing",F4:F47,"Retained")</f>
        <v>56.210526315789473</v>
      </c>
    </row>
    <row r="11" spans="2:11" ht="15" x14ac:dyDescent="0.3">
      <c r="B11" s="2">
        <v>8</v>
      </c>
      <c r="C11" s="4" t="s">
        <v>16</v>
      </c>
      <c r="D11" s="2">
        <v>54</v>
      </c>
      <c r="E11" s="2" t="s">
        <v>6</v>
      </c>
      <c r="F11" s="2" t="s">
        <v>9</v>
      </c>
      <c r="I11" s="11" t="s">
        <v>57</v>
      </c>
      <c r="J11" s="11">
        <f>AVERAGEIFS(D4:D47,E4:E47,"New",F4:F47,"Retained")</f>
        <v>58.363636363636367</v>
      </c>
    </row>
    <row r="12" spans="2:11" ht="15" x14ac:dyDescent="0.3">
      <c r="B12" s="2">
        <v>9</v>
      </c>
      <c r="C12" s="4" t="s">
        <v>17</v>
      </c>
      <c r="D12" s="2">
        <v>85</v>
      </c>
      <c r="E12" s="2" t="s">
        <v>11</v>
      </c>
      <c r="F12" s="2" t="s">
        <v>7</v>
      </c>
      <c r="I12" s="11" t="s">
        <v>58</v>
      </c>
      <c r="J12" s="11">
        <f>AVERAGEIFS(D4:D47,E4:E47,"New",F4:F47,"Left")</f>
        <v>51.6</v>
      </c>
    </row>
    <row r="13" spans="2:11" ht="15" x14ac:dyDescent="0.3">
      <c r="B13" s="2">
        <v>10</v>
      </c>
      <c r="C13" s="4" t="s">
        <v>18</v>
      </c>
      <c r="D13" s="2">
        <v>92</v>
      </c>
      <c r="E13" s="2" t="s">
        <v>11</v>
      </c>
      <c r="F13" s="2" t="s">
        <v>9</v>
      </c>
      <c r="I13" s="11" t="s">
        <v>61</v>
      </c>
      <c r="J13" s="11">
        <v>44</v>
      </c>
    </row>
    <row r="14" spans="2:11" ht="15" x14ac:dyDescent="0.3">
      <c r="B14" s="2">
        <v>11</v>
      </c>
      <c r="C14" s="4" t="s">
        <v>19</v>
      </c>
      <c r="D14" s="2">
        <v>95</v>
      </c>
      <c r="E14" s="2" t="s">
        <v>6</v>
      </c>
      <c r="F14" s="2" t="s">
        <v>7</v>
      </c>
      <c r="I14" s="11" t="s">
        <v>59</v>
      </c>
      <c r="J14" s="11">
        <f>COUNTIF(F4:F47,"Left")</f>
        <v>14</v>
      </c>
      <c r="K14" s="7">
        <f>J14/J13</f>
        <v>0.31818181818181818</v>
      </c>
    </row>
    <row r="15" spans="2:11" ht="15" x14ac:dyDescent="0.3">
      <c r="B15" s="2">
        <v>12</v>
      </c>
      <c r="C15" s="4" t="s">
        <v>20</v>
      </c>
      <c r="D15" s="2">
        <v>99</v>
      </c>
      <c r="E15" s="2" t="s">
        <v>6</v>
      </c>
      <c r="F15" s="2" t="s">
        <v>9</v>
      </c>
      <c r="I15" s="11" t="s">
        <v>60</v>
      </c>
      <c r="J15" s="11">
        <f>COUNTIF(F4:F47,"Retained")</f>
        <v>30</v>
      </c>
    </row>
    <row r="16" spans="2:11" ht="15" x14ac:dyDescent="0.3">
      <c r="B16" s="2">
        <v>13</v>
      </c>
      <c r="C16" s="4" t="s">
        <v>21</v>
      </c>
      <c r="D16" s="2">
        <v>32</v>
      </c>
      <c r="E16" s="2" t="s">
        <v>11</v>
      </c>
      <c r="F16" s="2" t="s">
        <v>7</v>
      </c>
      <c r="I16" s="11" t="s">
        <v>65</v>
      </c>
      <c r="J16" s="11">
        <f>COUNTIFS(E4:E47,"New",F4:F47,"Retained")</f>
        <v>11</v>
      </c>
      <c r="K16" s="8">
        <f>J16/(COUNTIF(E4:E47,"new"))</f>
        <v>0.6875</v>
      </c>
    </row>
    <row r="17" spans="2:14" ht="15" x14ac:dyDescent="0.3">
      <c r="B17" s="2">
        <v>14</v>
      </c>
      <c r="C17" s="4" t="s">
        <v>22</v>
      </c>
      <c r="D17" s="2">
        <v>34</v>
      </c>
      <c r="E17" s="2" t="s">
        <v>6</v>
      </c>
      <c r="F17" s="2" t="s">
        <v>9</v>
      </c>
      <c r="I17" s="12" t="s">
        <v>63</v>
      </c>
      <c r="J17" s="13">
        <f>(K7+(1-K14))/2</f>
        <v>0.61897727272727276</v>
      </c>
      <c r="K17" s="6" t="s">
        <v>64</v>
      </c>
    </row>
    <row r="18" spans="2:14" ht="15" x14ac:dyDescent="0.3">
      <c r="B18" s="2">
        <v>15</v>
      </c>
      <c r="C18" s="4" t="s">
        <v>23</v>
      </c>
      <c r="D18" s="2">
        <v>92</v>
      </c>
      <c r="E18" s="2" t="s">
        <v>11</v>
      </c>
      <c r="F18" s="2" t="s">
        <v>7</v>
      </c>
      <c r="I18" s="9" t="s">
        <v>63</v>
      </c>
      <c r="J18" s="10">
        <f>(K7+K9+K16)/3</f>
        <v>0.60204545454545455</v>
      </c>
      <c r="K18" s="6" t="s">
        <v>66</v>
      </c>
    </row>
    <row r="19" spans="2:14" ht="15" x14ac:dyDescent="0.3">
      <c r="B19" s="2">
        <v>16</v>
      </c>
      <c r="C19" s="4" t="s">
        <v>24</v>
      </c>
      <c r="D19" s="2">
        <v>79</v>
      </c>
      <c r="E19" s="2" t="s">
        <v>6</v>
      </c>
      <c r="F19" s="2" t="s">
        <v>9</v>
      </c>
    </row>
    <row r="20" spans="2:14" ht="15" x14ac:dyDescent="0.3">
      <c r="B20" s="2">
        <v>17</v>
      </c>
      <c r="C20" s="4" t="s">
        <v>25</v>
      </c>
      <c r="D20" s="2">
        <v>65</v>
      </c>
      <c r="E20" s="2" t="s">
        <v>6</v>
      </c>
      <c r="F20" s="2" t="s">
        <v>7</v>
      </c>
    </row>
    <row r="21" spans="2:14" ht="15" x14ac:dyDescent="0.3">
      <c r="B21" s="2">
        <v>18</v>
      </c>
      <c r="C21" s="4" t="s">
        <v>26</v>
      </c>
      <c r="D21" s="2">
        <v>75</v>
      </c>
      <c r="E21" s="2" t="s">
        <v>6</v>
      </c>
      <c r="F21" s="2" t="s">
        <v>7</v>
      </c>
    </row>
    <row r="22" spans="2:14" ht="15" x14ac:dyDescent="0.3">
      <c r="B22" s="2">
        <v>19</v>
      </c>
      <c r="C22" s="4" t="s">
        <v>27</v>
      </c>
      <c r="D22" s="2">
        <v>54</v>
      </c>
      <c r="E22" s="2" t="s">
        <v>6</v>
      </c>
      <c r="F22" s="2" t="s">
        <v>9</v>
      </c>
      <c r="J22" s="11"/>
      <c r="K22" s="14"/>
      <c r="L22" s="11" t="s">
        <v>67</v>
      </c>
      <c r="M22" s="11" t="s">
        <v>68</v>
      </c>
    </row>
    <row r="23" spans="2:14" ht="15" x14ac:dyDescent="0.3">
      <c r="B23" s="2">
        <v>20</v>
      </c>
      <c r="C23" s="4" t="s">
        <v>28</v>
      </c>
      <c r="D23" s="2">
        <v>45</v>
      </c>
      <c r="E23" s="2" t="s">
        <v>6</v>
      </c>
      <c r="F23" s="2" t="s">
        <v>7</v>
      </c>
      <c r="J23" s="11"/>
      <c r="K23" s="14"/>
      <c r="L23" s="9" t="s">
        <v>69</v>
      </c>
      <c r="M23" s="9" t="s">
        <v>70</v>
      </c>
      <c r="N23" t="s">
        <v>73</v>
      </c>
    </row>
    <row r="24" spans="2:14" ht="15" x14ac:dyDescent="0.3">
      <c r="B24" s="2">
        <v>21</v>
      </c>
      <c r="C24" s="4" t="s">
        <v>29</v>
      </c>
      <c r="D24" s="2">
        <v>72</v>
      </c>
      <c r="E24" s="2" t="s">
        <v>6</v>
      </c>
      <c r="F24" s="2" t="s">
        <v>7</v>
      </c>
      <c r="J24" s="11">
        <v>1</v>
      </c>
      <c r="K24" s="10" t="s">
        <v>71</v>
      </c>
      <c r="L24" s="11">
        <v>0.8</v>
      </c>
      <c r="M24" s="11">
        <v>0.2</v>
      </c>
      <c r="N24">
        <f>L25/(L25+M24)</f>
        <v>0.76470588235294112</v>
      </c>
    </row>
    <row r="25" spans="2:14" ht="15" x14ac:dyDescent="0.3">
      <c r="B25" s="2">
        <v>22</v>
      </c>
      <c r="C25" s="4" t="s">
        <v>30</v>
      </c>
      <c r="D25" s="2">
        <v>69</v>
      </c>
      <c r="E25" s="2" t="s">
        <v>6</v>
      </c>
      <c r="F25" s="2" t="s">
        <v>7</v>
      </c>
      <c r="J25" s="11">
        <v>2</v>
      </c>
      <c r="K25" s="10" t="s">
        <v>72</v>
      </c>
      <c r="L25" s="11">
        <v>0.65</v>
      </c>
      <c r="M25" s="11">
        <v>0.35</v>
      </c>
      <c r="N25">
        <f>1-N24</f>
        <v>0.23529411764705888</v>
      </c>
    </row>
    <row r="26" spans="2:14" ht="15" x14ac:dyDescent="0.3">
      <c r="B26" s="2">
        <v>23</v>
      </c>
      <c r="C26" s="4" t="s">
        <v>31</v>
      </c>
      <c r="D26" s="2">
        <v>32</v>
      </c>
      <c r="E26" s="2" t="s">
        <v>6</v>
      </c>
      <c r="F26" s="2" t="s">
        <v>7</v>
      </c>
      <c r="L26">
        <f>SUMPRODUCT(L24:L25,N24:N25)</f>
        <v>0.76470588235294124</v>
      </c>
      <c r="M26">
        <f>SUMPRODUCT(M24:M25,N24:N25)</f>
        <v>0.23529411764705885</v>
      </c>
    </row>
    <row r="27" spans="2:14" ht="15" x14ac:dyDescent="0.3">
      <c r="B27" s="2">
        <v>24</v>
      </c>
      <c r="C27" s="4" t="s">
        <v>32</v>
      </c>
      <c r="D27" s="2">
        <v>38</v>
      </c>
      <c r="E27" s="2" t="s">
        <v>11</v>
      </c>
      <c r="F27" s="2" t="s">
        <v>7</v>
      </c>
    </row>
    <row r="28" spans="2:14" ht="15" x14ac:dyDescent="0.3">
      <c r="B28" s="2">
        <v>25</v>
      </c>
      <c r="C28" s="4" t="s">
        <v>33</v>
      </c>
      <c r="D28" s="2">
        <v>51</v>
      </c>
      <c r="E28" s="2" t="s">
        <v>11</v>
      </c>
      <c r="F28" s="2" t="s">
        <v>7</v>
      </c>
    </row>
    <row r="29" spans="2:14" ht="15" x14ac:dyDescent="0.3">
      <c r="B29" s="2">
        <v>26</v>
      </c>
      <c r="C29" s="4" t="s">
        <v>34</v>
      </c>
      <c r="D29" s="2">
        <v>65</v>
      </c>
      <c r="E29" s="2" t="s">
        <v>6</v>
      </c>
      <c r="F29" s="2" t="s">
        <v>7</v>
      </c>
    </row>
    <row r="30" spans="2:14" ht="15" x14ac:dyDescent="0.3">
      <c r="B30" s="2">
        <v>27</v>
      </c>
      <c r="C30" s="4" t="s">
        <v>35</v>
      </c>
      <c r="D30" s="2">
        <v>67</v>
      </c>
      <c r="E30" s="2" t="s">
        <v>6</v>
      </c>
      <c r="F30" s="2" t="s">
        <v>7</v>
      </c>
    </row>
    <row r="31" spans="2:14" ht="15" x14ac:dyDescent="0.3">
      <c r="B31" s="2">
        <v>28</v>
      </c>
      <c r="C31" s="4" t="s">
        <v>36</v>
      </c>
      <c r="D31" s="2">
        <v>15</v>
      </c>
      <c r="E31" s="2" t="s">
        <v>11</v>
      </c>
      <c r="F31" s="2" t="s">
        <v>9</v>
      </c>
    </row>
    <row r="32" spans="2:14" ht="15" x14ac:dyDescent="0.3">
      <c r="B32" s="2">
        <v>29</v>
      </c>
      <c r="C32" s="4" t="s">
        <v>37</v>
      </c>
      <c r="D32" s="2">
        <v>63</v>
      </c>
      <c r="E32" s="2" t="s">
        <v>6</v>
      </c>
      <c r="F32" s="2" t="s">
        <v>7</v>
      </c>
    </row>
    <row r="33" spans="2:6" ht="15" x14ac:dyDescent="0.3">
      <c r="B33" s="2">
        <v>30</v>
      </c>
      <c r="C33" s="4" t="s">
        <v>38</v>
      </c>
      <c r="D33" s="2">
        <v>21</v>
      </c>
      <c r="E33" s="2" t="s">
        <v>6</v>
      </c>
      <c r="F33" s="2" t="s">
        <v>7</v>
      </c>
    </row>
    <row r="34" spans="2:6" ht="15" x14ac:dyDescent="0.3">
      <c r="B34" s="2">
        <v>31</v>
      </c>
      <c r="C34" s="4" t="s">
        <v>39</v>
      </c>
      <c r="D34" s="2">
        <v>67</v>
      </c>
      <c r="E34" s="2" t="s">
        <v>6</v>
      </c>
      <c r="F34" s="2" t="s">
        <v>7</v>
      </c>
    </row>
    <row r="35" spans="2:6" ht="15" x14ac:dyDescent="0.3">
      <c r="B35" s="2">
        <v>32</v>
      </c>
      <c r="C35" s="5" t="s">
        <v>40</v>
      </c>
      <c r="D35" s="2">
        <v>38</v>
      </c>
      <c r="E35" s="2" t="s">
        <v>11</v>
      </c>
      <c r="F35" s="2" t="s">
        <v>9</v>
      </c>
    </row>
    <row r="36" spans="2:6" ht="15" x14ac:dyDescent="0.3">
      <c r="B36" s="2">
        <v>33</v>
      </c>
      <c r="C36" s="4" t="s">
        <v>41</v>
      </c>
      <c r="D36" s="2">
        <v>44</v>
      </c>
      <c r="E36" s="2" t="s">
        <v>6</v>
      </c>
      <c r="F36" s="2" t="s">
        <v>9</v>
      </c>
    </row>
    <row r="37" spans="2:6" ht="15" x14ac:dyDescent="0.3">
      <c r="B37" s="2">
        <v>34</v>
      </c>
      <c r="C37" s="4" t="s">
        <v>42</v>
      </c>
      <c r="D37" s="2">
        <v>29</v>
      </c>
      <c r="E37" s="2" t="s">
        <v>6</v>
      </c>
      <c r="F37" s="2" t="s">
        <v>9</v>
      </c>
    </row>
    <row r="38" spans="2:6" ht="15" x14ac:dyDescent="0.3">
      <c r="B38" s="2">
        <v>35</v>
      </c>
      <c r="C38" s="4" t="s">
        <v>43</v>
      </c>
      <c r="D38" s="2">
        <v>45</v>
      </c>
      <c r="E38" s="2" t="s">
        <v>6</v>
      </c>
      <c r="F38" s="2" t="s">
        <v>7</v>
      </c>
    </row>
    <row r="39" spans="2:6" ht="15" x14ac:dyDescent="0.3">
      <c r="B39" s="2">
        <v>36</v>
      </c>
      <c r="C39" s="4" t="s">
        <v>44</v>
      </c>
      <c r="D39" s="2">
        <v>31</v>
      </c>
      <c r="E39" s="2" t="s">
        <v>6</v>
      </c>
      <c r="F39" s="2" t="s">
        <v>9</v>
      </c>
    </row>
    <row r="40" spans="2:6" ht="15" x14ac:dyDescent="0.3">
      <c r="B40" s="2">
        <v>37</v>
      </c>
      <c r="C40" s="4" t="s">
        <v>45</v>
      </c>
      <c r="D40" s="2">
        <v>51</v>
      </c>
      <c r="E40" s="2" t="s">
        <v>11</v>
      </c>
      <c r="F40" s="2" t="s">
        <v>9</v>
      </c>
    </row>
    <row r="41" spans="2:6" ht="15" x14ac:dyDescent="0.3">
      <c r="B41" s="2">
        <v>38</v>
      </c>
      <c r="C41" s="4" t="s">
        <v>46</v>
      </c>
      <c r="D41" s="2">
        <v>20</v>
      </c>
      <c r="E41" s="2" t="s">
        <v>6</v>
      </c>
      <c r="F41" s="2" t="s">
        <v>7</v>
      </c>
    </row>
    <row r="42" spans="2:6" ht="15" x14ac:dyDescent="0.3">
      <c r="B42" s="2">
        <v>39</v>
      </c>
      <c r="C42" s="4" t="s">
        <v>47</v>
      </c>
      <c r="D42" s="2">
        <v>49</v>
      </c>
      <c r="E42" s="2" t="s">
        <v>6</v>
      </c>
      <c r="F42" s="2" t="s">
        <v>7</v>
      </c>
    </row>
    <row r="43" spans="2:6" ht="15" x14ac:dyDescent="0.3">
      <c r="B43" s="2">
        <v>40</v>
      </c>
      <c r="C43" s="4" t="s">
        <v>48</v>
      </c>
      <c r="D43" s="2">
        <v>52</v>
      </c>
      <c r="E43" s="2" t="s">
        <v>11</v>
      </c>
      <c r="F43" s="2" t="s">
        <v>7</v>
      </c>
    </row>
    <row r="44" spans="2:6" ht="15" x14ac:dyDescent="0.3">
      <c r="B44" s="2">
        <v>41</v>
      </c>
      <c r="C44" s="4" t="s">
        <v>49</v>
      </c>
      <c r="D44" s="2">
        <v>15</v>
      </c>
      <c r="E44" s="2" t="s">
        <v>11</v>
      </c>
      <c r="F44" s="2" t="s">
        <v>7</v>
      </c>
    </row>
    <row r="45" spans="2:6" ht="15" x14ac:dyDescent="0.3">
      <c r="B45" s="2">
        <v>42</v>
      </c>
      <c r="C45" s="4" t="s">
        <v>50</v>
      </c>
      <c r="D45" s="2">
        <v>62</v>
      </c>
      <c r="E45" s="2" t="s">
        <v>11</v>
      </c>
      <c r="F45" s="2" t="s">
        <v>9</v>
      </c>
    </row>
    <row r="46" spans="2:6" ht="15" x14ac:dyDescent="0.3">
      <c r="B46" s="2">
        <v>43</v>
      </c>
      <c r="C46" s="4" t="s">
        <v>51</v>
      </c>
      <c r="D46" s="2">
        <v>55</v>
      </c>
      <c r="E46" s="2" t="s">
        <v>6</v>
      </c>
      <c r="F46" s="2" t="s">
        <v>7</v>
      </c>
    </row>
    <row r="47" spans="2:6" ht="15" x14ac:dyDescent="0.3">
      <c r="B47" s="2">
        <v>44</v>
      </c>
      <c r="C47" s="4" t="s">
        <v>52</v>
      </c>
      <c r="D47" s="2">
        <v>67</v>
      </c>
      <c r="E47" s="2" t="s">
        <v>6</v>
      </c>
      <c r="F4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 illeR</dc:creator>
  <cp:lastModifiedBy>SkR illeR</cp:lastModifiedBy>
  <dcterms:created xsi:type="dcterms:W3CDTF">2025-12-28T17:07:48Z</dcterms:created>
  <dcterms:modified xsi:type="dcterms:W3CDTF">2025-12-28T18:13:40Z</dcterms:modified>
</cp:coreProperties>
</file>