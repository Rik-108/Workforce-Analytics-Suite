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RA\Exam Prep\"/>
    </mc:Choice>
  </mc:AlternateContent>
  <xr:revisionPtr revIDLastSave="0" documentId="8_{ABBBC1DF-B503-4FBD-86C4-7FD0E69198EC}" xr6:coauthVersionLast="47" xr6:coauthVersionMax="47" xr10:uidLastSave="{00000000-0000-0000-0000-000000000000}"/>
  <bookViews>
    <workbookView xWindow="-108" yWindow="-108" windowWidth="23256" windowHeight="12456" activeTab="1" xr2:uid="{231E4A44-BB34-4561-AE55-7E1A9508BB19}"/>
  </bookViews>
  <sheets>
    <sheet name="Theory of Span of Control" sheetId="1" r:id="rId1"/>
    <sheet name="Sheet2" sheetId="2" r:id="rId2"/>
  </sheets>
  <definedNames>
    <definedName name="solver_eng" localSheetId="1" hidden="1">3</definedName>
    <definedName name="solver_neg" localSheetId="1" hidden="1">1</definedName>
    <definedName name="solver_num" localSheetId="1" hidden="1">0</definedName>
    <definedName name="solver_opt" localSheetId="1" hidden="1">Sheet2!$B$6</definedName>
    <definedName name="solver_typ" localSheetId="1" hidden="1">1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5" i="2" l="1"/>
  <c r="D13" i="2"/>
  <c r="E13" i="2"/>
  <c r="F13" i="2"/>
  <c r="D12" i="2"/>
  <c r="E12" i="2"/>
  <c r="F12" i="2"/>
  <c r="D11" i="2"/>
  <c r="E11" i="2"/>
  <c r="F11" i="2"/>
  <c r="C13" i="2"/>
  <c r="C12" i="2"/>
  <c r="C11" i="2"/>
  <c r="C10" i="2"/>
  <c r="D10" i="2"/>
  <c r="E10" i="2"/>
  <c r="F10" i="2"/>
  <c r="G6" i="2"/>
  <c r="F8" i="1"/>
  <c r="E8" i="1"/>
  <c r="D8" i="1"/>
  <c r="F7" i="1"/>
  <c r="E7" i="1"/>
  <c r="D7" i="1"/>
  <c r="F6" i="1"/>
  <c r="E6" i="1"/>
  <c r="D6" i="1"/>
</calcChain>
</file>

<file path=xl/sharedStrings.xml><?xml version="1.0" encoding="utf-8"?>
<sst xmlns="http://schemas.openxmlformats.org/spreadsheetml/2006/main" count="23" uniqueCount="22">
  <si>
    <t>n value</t>
  </si>
  <si>
    <t>Direct Relationship</t>
  </si>
  <si>
    <t>n</t>
  </si>
  <si>
    <t>Cross Relationship</t>
  </si>
  <si>
    <t>n(n-1)</t>
  </si>
  <si>
    <t>Group Relationship</t>
  </si>
  <si>
    <t>n(2^(n-1) - 1)</t>
  </si>
  <si>
    <t>A</t>
  </si>
  <si>
    <t>B</t>
  </si>
  <si>
    <t>C</t>
  </si>
  <si>
    <t>D</t>
  </si>
  <si>
    <t>N (Current Subordinate Control)</t>
  </si>
  <si>
    <t>Cost of supervision per relationship</t>
  </si>
  <si>
    <t>Output Expected per relationship</t>
  </si>
  <si>
    <t>Total</t>
  </si>
  <si>
    <t>Relationships</t>
  </si>
  <si>
    <t>Benefit</t>
  </si>
  <si>
    <t>relationship*Output</t>
  </si>
  <si>
    <t>Gain</t>
  </si>
  <si>
    <t>relationship*cost</t>
  </si>
  <si>
    <t>benefit-cost</t>
  </si>
  <si>
    <t>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</si>
</sst>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259080</xdr:colOff>
      <xdr:row>3</xdr:row>
      <xdr:rowOff>106680</xdr:rowOff>
    </xdr:from>
    <xdr:ext cx="7223760" cy="2503506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0CD5BC0-E500-FE98-2086-4529F705D9D9}"/>
            </a:ext>
          </a:extLst>
        </xdr:cNvPr>
        <xdr:cNvSpPr txBox="1"/>
      </xdr:nvSpPr>
      <xdr:spPr>
        <a:xfrm>
          <a:off x="5105400" y="655320"/>
          <a:ext cx="7223760" cy="2503506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main idea behind Graicunas' theory is that as you add subordinates (employees) to a manager's team, the number of potential interactions (relationships) increases </a:t>
          </a:r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exponentially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, not linearly.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This means that managing 5 people is significantly harder than managing 4, not just a "little bit" harder, because the complexity of relationships explodes.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 The Three Types of Relationships</a:t>
          </a:r>
        </a:p>
        <a:p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first image breaks down the complexity into three categories. Let n be the number of subordinates.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Direct Relationship: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one-on-one relationship between the boss and each subordinate.</a:t>
          </a:r>
        </a:p>
        <a:p>
          <a:pPr lvl="1"/>
          <a:r>
            <a:rPr lang="en-IN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 Relationship: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relationships between the subordinates themselves (e.g., Subordinate A talking to Subordinate B).</a:t>
          </a:r>
        </a:p>
        <a:p>
          <a:pPr lvl="1"/>
          <a:r>
            <a:rPr lang="en-IN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n(n - 1)</a:t>
          </a:r>
        </a:p>
        <a:p>
          <a:r>
            <a:rPr lang="en-IN" sz="1100" b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Group Relationship: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The relationships between the boss and various combinations/groups of subordinates (e.g., Boss talking to A and B together, or Boss talking to A, B, and C).</a:t>
          </a:r>
        </a:p>
        <a:p>
          <a:pPr lvl="1"/>
          <a:r>
            <a:rPr lang="en-IN" sz="1100" i="1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Formula:</a:t>
          </a:r>
          <a:r>
            <a:rPr lang="en-IN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n(2^{n-1} - 1)</a:t>
          </a:r>
        </a:p>
        <a:p>
          <a:endParaRPr lang="en-IN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281940</xdr:colOff>
      <xdr:row>4</xdr:row>
      <xdr:rowOff>76200</xdr:rowOff>
    </xdr:from>
    <xdr:ext cx="5554980" cy="2675732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26CA29C7-2FB9-8FFD-D932-1E33499EDC0C}"/>
            </a:ext>
          </a:extLst>
        </xdr:cNvPr>
        <xdr:cNvSpPr txBox="1"/>
      </xdr:nvSpPr>
      <xdr:spPr>
        <a:xfrm>
          <a:off x="7528560" y="807720"/>
          <a:ext cx="5554980" cy="2675732"/>
        </a:xfrm>
        <a:prstGeom prst="rect">
          <a:avLst/>
        </a:prstGeom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 managers are controlling subordinates with varying cost and output/per relationship. The company wants to reorganize the span of control to maximize gains from the total relationship.</a:t>
          </a: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Formula:</a:t>
          </a: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Gain=(output-cost)*Total relationship</a:t>
          </a: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Constraints:</a:t>
          </a:r>
          <a:endParaRPr lang="en-IN" sz="1100">
            <a:solidFill>
              <a:schemeClr val="tx1"/>
            </a:solidFill>
            <a:effectLst/>
            <a:latin typeface="+mn-lt"/>
            <a:ea typeface="+mn-ea"/>
            <a:cs typeface="+mn-cs"/>
          </a:endParaRP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Min/Max Employees: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minimum any manager can control should not be less than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5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and maximum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Staff Strength: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Current level of staff strength is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43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(calculated from the table: $8+9+11+15$).</a:t>
          </a: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Complexity Limit: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Additionally, the total relationship for </a:t>
          </a:r>
          <a:r>
            <a:rPr lang="en-IN" sz="1100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any manager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should not exceed </a:t>
          </a:r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1500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r>
            <a:rPr lang="en-IN" sz="11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Integer Value:</a:t>
          </a:r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The employee count must be an integer value.</a:t>
          </a: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Question:</a:t>
          </a:r>
        </a:p>
        <a:p>
          <a:r>
            <a:rPr lang="en-IN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What is an optimum allocation assignment of subordinates given the above information, between the managers? (Use evolutionary solver).</a:t>
          </a:r>
        </a:p>
        <a:p>
          <a:endParaRPr lang="en-IN" sz="1100"/>
        </a:p>
      </xdr:txBody>
    </xdr:sp>
    <xdr:clientData/>
  </xdr:oneCellAnchor>
  <xdr:oneCellAnchor>
    <xdr:from>
      <xdr:col>6</xdr:col>
      <xdr:colOff>106680</xdr:colOff>
      <xdr:row>8</xdr:row>
      <xdr:rowOff>175259</xdr:rowOff>
    </xdr:from>
    <xdr:ext cx="1356360" cy="182881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94599AE-637A-8B35-8E26-BE5820390CF2}"/>
                </a:ext>
              </a:extLst>
            </xdr:cNvPr>
            <xdr:cNvSpPr txBox="1"/>
          </xdr:nvSpPr>
          <xdr:spPr>
            <a:xfrm>
              <a:off x="4305300" y="2369819"/>
              <a:ext cx="1356360" cy="1828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d>
                      <m:d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sSup>
                          <m:sSup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</m:e>
                          <m:sup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sup>
                        </m:sSup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−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</m:e>
                    </m:d>
                    <m:r>
                      <a:rPr lang="en-GB" sz="1100" b="0" i="1">
                        <a:solidFill>
                          <a:schemeClr val="tx1"/>
                        </a:solidFill>
                        <a:effectLst/>
                        <a:latin typeface="Cambria Math" panose="02040503050406030204" pitchFamily="18" charset="0"/>
                        <a:ea typeface="+mn-ea"/>
                        <a:cs typeface="+mn-cs"/>
                      </a:rPr>
                      <m:t>+</m:t>
                    </m:r>
                    <m:d>
                      <m:dPr>
                        <m:ctrlP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</m:ctrlPr>
                      </m:dPr>
                      <m:e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𝑛</m:t>
                        </m:r>
                        <m:r>
                          <a:rPr lang="en-GB" sz="1100" b="0" i="1">
                            <a:solidFill>
                              <a:schemeClr val="tx1"/>
                            </a:solidFill>
                            <a:effectLst/>
                            <a:latin typeface="Cambria Math" panose="02040503050406030204" pitchFamily="18" charset="0"/>
                            <a:ea typeface="+mn-ea"/>
                            <a:cs typeface="+mn-cs"/>
                          </a:rPr>
                          <m:t>∗</m:t>
                        </m:r>
                        <m:sSup>
                          <m:sSupPr>
                            <m:ctrlP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</m:ctrlPr>
                          </m:sSupPr>
                          <m:e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2</m:t>
                            </m:r>
                          </m:e>
                          <m:sup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𝑛</m:t>
                            </m:r>
                            <m:r>
                              <a:rPr lang="en-GB" sz="1100" b="0" i="1">
                                <a:solidFill>
                                  <a:schemeClr val="tx1"/>
                                </a:solidFill>
                                <a:effectLst/>
                                <a:latin typeface="Cambria Math" panose="02040503050406030204" pitchFamily="18" charset="0"/>
                                <a:ea typeface="+mn-ea"/>
                                <a:cs typeface="+mn-cs"/>
                              </a:rPr>
                              <m:t>−1</m:t>
                            </m:r>
                          </m:sup>
                        </m:sSup>
                      </m:e>
                    </m:d>
                  </m:oMath>
                </m:oMathPara>
              </a14:m>
              <a:endParaRPr lang="en-GB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Choice>
      <mc:Fallback>
        <xdr:sp macro="" textlink="">
          <xdr:nvSpPr>
            <xdr:cNvPr id="3" name="TextBox 2">
              <a:extLst>
                <a:ext uri="{FF2B5EF4-FFF2-40B4-BE49-F238E27FC236}">
                  <a16:creationId xmlns:a16="http://schemas.microsoft.com/office/drawing/2014/main" id="{E94599AE-637A-8B35-8E26-BE5820390CF2}"/>
                </a:ext>
              </a:extLst>
            </xdr:cNvPr>
            <xdr:cNvSpPr txBox="1"/>
          </xdr:nvSpPr>
          <xdr:spPr>
            <a:xfrm>
              <a:off x="4305300" y="2369819"/>
              <a:ext cx="1356360" cy="182881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noAutofit/>
            </a:bodyPr>
            <a:lstStyle/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r>
                <a:rPr lang="en-GB" sz="1100" b="0" i="0">
                  <a:solidFill>
                    <a:schemeClr val="tx1"/>
                  </a:solidFill>
                  <a:effectLst/>
                  <a:latin typeface="Cambria Math" panose="02040503050406030204" pitchFamily="18" charset="0"/>
                  <a:ea typeface="+mn-ea"/>
                  <a:cs typeface="+mn-cs"/>
                </a:rPr>
                <a:t>(𝑛^2−𝑛)+(𝑛∗2^(𝑛−1) )</a:t>
              </a:r>
              <a:endParaRPr lang="en-GB" sz="1100" b="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  <a:p>
              <a:pPr marL="0" marR="0" lvl="0" indent="0" defTabSz="91440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/>
              </a:pPr>
              <a:endParaRPr lang="en-IN" sz="1100">
                <a:solidFill>
                  <a:schemeClr val="tx1"/>
                </a:solidFill>
                <a:effectLst/>
                <a:latin typeface="+mn-lt"/>
                <a:ea typeface="+mn-ea"/>
                <a:cs typeface="+mn-cs"/>
              </a:endParaRPr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D9698-75FC-486C-A6C8-4B8474962E33}">
  <dimension ref="B5:F8"/>
  <sheetViews>
    <sheetView workbookViewId="0">
      <selection activeCell="D8" sqref="D8"/>
    </sheetView>
  </sheetViews>
  <sheetFormatPr defaultRowHeight="14.4" x14ac:dyDescent="0.3"/>
  <cols>
    <col min="2" max="2" width="19.6640625" customWidth="1"/>
    <col min="3" max="3" width="15.44140625" customWidth="1"/>
  </cols>
  <sheetData>
    <row r="5" spans="2:6" x14ac:dyDescent="0.3">
      <c r="B5" s="1" t="s">
        <v>0</v>
      </c>
      <c r="C5" s="1"/>
      <c r="D5" s="1">
        <v>3</v>
      </c>
      <c r="E5" s="1">
        <v>4</v>
      </c>
      <c r="F5" s="1">
        <v>5</v>
      </c>
    </row>
    <row r="6" spans="2:6" x14ac:dyDescent="0.3">
      <c r="B6" s="2" t="s">
        <v>1</v>
      </c>
      <c r="C6" s="2" t="s">
        <v>2</v>
      </c>
      <c r="D6" s="2">
        <f>D5</f>
        <v>3</v>
      </c>
      <c r="E6" s="2">
        <f t="shared" ref="E6:F6" si="0">E5</f>
        <v>4</v>
      </c>
      <c r="F6" s="2">
        <f t="shared" si="0"/>
        <v>5</v>
      </c>
    </row>
    <row r="7" spans="2:6" x14ac:dyDescent="0.3">
      <c r="B7" s="2" t="s">
        <v>3</v>
      </c>
      <c r="C7" s="2" t="s">
        <v>4</v>
      </c>
      <c r="D7" s="2">
        <f>D6*(D6-1)</f>
        <v>6</v>
      </c>
      <c r="E7" s="2">
        <f t="shared" ref="E7:F7" si="1">E6*(E6-1)</f>
        <v>12</v>
      </c>
      <c r="F7" s="2">
        <f t="shared" si="1"/>
        <v>20</v>
      </c>
    </row>
    <row r="8" spans="2:6" x14ac:dyDescent="0.3">
      <c r="B8" s="2" t="s">
        <v>5</v>
      </c>
      <c r="C8" s="2" t="s">
        <v>6</v>
      </c>
      <c r="D8" s="2">
        <f>D5*(2^(D5-1) - 1)</f>
        <v>9</v>
      </c>
      <c r="E8" s="2">
        <f t="shared" ref="E8:F8" si="2">E5*(2^(E5-1) - 1)</f>
        <v>28</v>
      </c>
      <c r="F8" s="2">
        <f t="shared" si="2"/>
        <v>75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CB931-34EE-42BC-87BC-10798B4D882D}">
  <dimension ref="B5:G15"/>
  <sheetViews>
    <sheetView tabSelected="1" workbookViewId="0">
      <selection activeCell="K15" sqref="K15"/>
    </sheetView>
  </sheetViews>
  <sheetFormatPr defaultRowHeight="14.4" x14ac:dyDescent="0.3"/>
  <cols>
    <col min="2" max="2" width="16.77734375" customWidth="1"/>
  </cols>
  <sheetData>
    <row r="5" spans="2:7" x14ac:dyDescent="0.3">
      <c r="B5" s="4" t="s">
        <v>21</v>
      </c>
      <c r="C5" s="4" t="s">
        <v>7</v>
      </c>
      <c r="D5" s="4" t="s">
        <v>8</v>
      </c>
      <c r="E5" s="4" t="s">
        <v>9</v>
      </c>
      <c r="F5" s="4" t="s">
        <v>10</v>
      </c>
      <c r="G5" s="5" t="s">
        <v>14</v>
      </c>
    </row>
    <row r="6" spans="2:7" ht="43.2" x14ac:dyDescent="0.3">
      <c r="B6" s="3" t="s">
        <v>11</v>
      </c>
      <c r="C6" s="3">
        <v>8</v>
      </c>
      <c r="D6" s="3">
        <v>9</v>
      </c>
      <c r="E6" s="3">
        <v>11</v>
      </c>
      <c r="F6" s="3">
        <v>15</v>
      </c>
      <c r="G6">
        <f>SUM(C6:F6)</f>
        <v>43</v>
      </c>
    </row>
    <row r="7" spans="2:7" ht="28.8" x14ac:dyDescent="0.3">
      <c r="B7" s="3" t="s">
        <v>12</v>
      </c>
      <c r="C7" s="3">
        <v>1.2</v>
      </c>
      <c r="D7" s="3">
        <v>1.35</v>
      </c>
      <c r="E7" s="3">
        <v>0.95</v>
      </c>
      <c r="F7" s="3">
        <v>1.1499999999999999</v>
      </c>
    </row>
    <row r="8" spans="2:7" ht="28.8" x14ac:dyDescent="0.3">
      <c r="B8" s="3" t="s">
        <v>13</v>
      </c>
      <c r="C8" s="3">
        <v>1.75</v>
      </c>
      <c r="D8" s="3">
        <v>1.75</v>
      </c>
      <c r="E8" s="3">
        <v>1.45</v>
      </c>
      <c r="F8" s="3">
        <v>1.5</v>
      </c>
    </row>
    <row r="10" spans="2:7" x14ac:dyDescent="0.3">
      <c r="B10" s="6" t="s">
        <v>15</v>
      </c>
      <c r="C10" s="7">
        <f>(C6^2 - C6) + (C6 * (2^(C6-1)))</f>
        <v>1080</v>
      </c>
      <c r="D10" s="7">
        <f t="shared" ref="D10:F10" si="0">(D6^2 - D6) + (D6 * (2^(D6-1)))</f>
        <v>2376</v>
      </c>
      <c r="E10" s="7">
        <f t="shared" si="0"/>
        <v>11374</v>
      </c>
      <c r="F10" s="7">
        <f t="shared" si="0"/>
        <v>245970</v>
      </c>
    </row>
    <row r="11" spans="2:7" x14ac:dyDescent="0.3">
      <c r="B11" s="6" t="s">
        <v>16</v>
      </c>
      <c r="C11" s="7">
        <f>+C10*C8</f>
        <v>1890</v>
      </c>
      <c r="D11" s="7">
        <f t="shared" ref="D11:F11" si="1">+D10*D8</f>
        <v>4158</v>
      </c>
      <c r="E11" s="7">
        <f t="shared" si="1"/>
        <v>16492.3</v>
      </c>
      <c r="F11" s="7">
        <f t="shared" si="1"/>
        <v>368955</v>
      </c>
      <c r="G11" t="s">
        <v>17</v>
      </c>
    </row>
    <row r="12" spans="2:7" ht="28.8" x14ac:dyDescent="0.3">
      <c r="B12" s="6" t="s">
        <v>12</v>
      </c>
      <c r="C12" s="7">
        <f>C10*C7</f>
        <v>1296</v>
      </c>
      <c r="D12" s="7">
        <f t="shared" ref="D12:F12" si="2">D10*D7</f>
        <v>3207.6000000000004</v>
      </c>
      <c r="E12" s="7">
        <f t="shared" si="2"/>
        <v>10805.3</v>
      </c>
      <c r="F12" s="7">
        <f t="shared" si="2"/>
        <v>282865.5</v>
      </c>
      <c r="G12" t="s">
        <v>19</v>
      </c>
    </row>
    <row r="13" spans="2:7" x14ac:dyDescent="0.3">
      <c r="B13" s="6" t="s">
        <v>18</v>
      </c>
      <c r="C13" s="7">
        <f>C11-C12</f>
        <v>594</v>
      </c>
      <c r="D13" s="7">
        <f t="shared" ref="D13:F13" si="3">D11-D12</f>
        <v>950.39999999999964</v>
      </c>
      <c r="E13" s="7">
        <f t="shared" si="3"/>
        <v>5687</v>
      </c>
      <c r="F13" s="7">
        <f t="shared" si="3"/>
        <v>86089.5</v>
      </c>
      <c r="G13" t="s">
        <v>20</v>
      </c>
    </row>
    <row r="15" spans="2:7" x14ac:dyDescent="0.3">
      <c r="F15">
        <f>SUM(C13:F13)</f>
        <v>93320.9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Theory of Span of Control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SkR illeR</dc:creator>
  <cp:lastModifiedBy>SkR illeR</cp:lastModifiedBy>
  <dcterms:created xsi:type="dcterms:W3CDTF">2025-12-28T10:34:17Z</dcterms:created>
  <dcterms:modified xsi:type="dcterms:W3CDTF">2025-12-28T11:35:30Z</dcterms:modified>
</cp:coreProperties>
</file>