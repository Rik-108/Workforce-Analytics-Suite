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RA\Exam Prep\"/>
    </mc:Choice>
  </mc:AlternateContent>
  <xr:revisionPtr revIDLastSave="0" documentId="13_ncr:1_{9EBCE10C-F2C6-4A52-9774-5BA507228359}" xr6:coauthVersionLast="47" xr6:coauthVersionMax="47" xr10:uidLastSave="{00000000-0000-0000-0000-000000000000}"/>
  <bookViews>
    <workbookView xWindow="-108" yWindow="-108" windowWidth="23256" windowHeight="12456" activeTab="4" xr2:uid="{6FDADBD4-CF26-471F-B3D8-5D4EDB1FEF7F}"/>
  </bookViews>
  <sheets>
    <sheet name="Quadratic" sheetId="1" r:id="rId1"/>
    <sheet name="Moving Avg" sheetId="2" r:id="rId2"/>
    <sheet name="Multiple Regression Analysis" sheetId="4" r:id="rId3"/>
    <sheet name="Linear Regression" sheetId="5" r:id="rId4"/>
    <sheet name="NewsPaper Problem" sheetId="6" r:id="rId5"/>
  </sheets>
  <definedNames>
    <definedName name="solver_adj" localSheetId="1" hidden="1">'Moving Avg'!$I$5:$I$7</definedName>
    <definedName name="solver_adj" localSheetId="0" hidden="1">Quadratic!$C$25:$C$27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'Moving Avg'!$I$8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2</definedName>
    <definedName name="solver_nod" localSheetId="1" hidden="1">2147483647</definedName>
    <definedName name="solver_nod" localSheetId="0" hidden="1">2147483647</definedName>
    <definedName name="solver_num" localSheetId="1" hidden="1">1</definedName>
    <definedName name="solver_num" localSheetId="0" hidden="1">0</definedName>
    <definedName name="solver_nwt" localSheetId="1" hidden="1">1</definedName>
    <definedName name="solver_nwt" localSheetId="0" hidden="1">1</definedName>
    <definedName name="solver_opt" localSheetId="1" hidden="1">'Moving Avg'!$F$14</definedName>
    <definedName name="solver_opt" localSheetId="0" hidden="1">Quadratic!$E$22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el1" localSheetId="1" hidden="1">2</definedName>
    <definedName name="solver_rhs1" localSheetId="1" hidden="1">1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6" l="1"/>
  <c r="F9" i="6" s="1"/>
  <c r="B13" i="6"/>
  <c r="F13" i="6" s="1"/>
  <c r="B18" i="6"/>
  <c r="C18" i="6"/>
  <c r="D18" i="6"/>
  <c r="E18" i="6"/>
  <c r="B19" i="6"/>
  <c r="C19" i="6"/>
  <c r="D19" i="6"/>
  <c r="E19" i="6"/>
  <c r="B20" i="6"/>
  <c r="C20" i="6"/>
  <c r="D20" i="6"/>
  <c r="E20" i="6"/>
  <c r="F10" i="6"/>
  <c r="F11" i="6"/>
  <c r="F12" i="6"/>
  <c r="C13" i="6"/>
  <c r="D13" i="6"/>
  <c r="E13" i="6"/>
  <c r="B12" i="6"/>
  <c r="C12" i="6"/>
  <c r="D12" i="6"/>
  <c r="E12" i="6"/>
  <c r="C9" i="6"/>
  <c r="D9" i="6"/>
  <c r="E9" i="6"/>
  <c r="C10" i="6"/>
  <c r="D10" i="6"/>
  <c r="E10" i="6"/>
  <c r="C11" i="6"/>
  <c r="D11" i="6"/>
  <c r="E11" i="6"/>
  <c r="B10" i="6"/>
  <c r="B11" i="6"/>
  <c r="D3" i="6"/>
  <c r="D4" i="6"/>
  <c r="D5" i="6"/>
  <c r="D2" i="6"/>
  <c r="C6" i="6"/>
  <c r="D17" i="6" l="1"/>
  <c r="C17" i="6"/>
  <c r="B17" i="6"/>
  <c r="E17" i="6"/>
  <c r="J5" i="5"/>
  <c r="J22" i="4" a="1"/>
  <c r="J22" i="4" s="1"/>
  <c r="J23" i="4" a="1"/>
  <c r="J23" i="4" s="1"/>
  <c r="J21" i="4" a="1"/>
  <c r="J21" i="4" s="1"/>
  <c r="O20" i="4"/>
  <c r="N20" i="4"/>
  <c r="M20" i="4"/>
  <c r="L20" i="4"/>
  <c r="O19" i="4"/>
  <c r="N19" i="4"/>
  <c r="M19" i="4"/>
  <c r="L19" i="4"/>
  <c r="O18" i="4"/>
  <c r="N18" i="4"/>
  <c r="M18" i="4"/>
  <c r="L18" i="4"/>
  <c r="O17" i="4"/>
  <c r="N17" i="4"/>
  <c r="M17" i="4"/>
  <c r="L17" i="4"/>
  <c r="O16" i="4"/>
  <c r="N16" i="4"/>
  <c r="M16" i="4"/>
  <c r="L16" i="4"/>
  <c r="O15" i="4"/>
  <c r="N15" i="4"/>
  <c r="M15" i="4"/>
  <c r="L15" i="4"/>
  <c r="O14" i="4"/>
  <c r="N14" i="4"/>
  <c r="M14" i="4"/>
  <c r="L14" i="4"/>
  <c r="O13" i="4"/>
  <c r="N13" i="4"/>
  <c r="M13" i="4"/>
  <c r="L13" i="4"/>
  <c r="O12" i="4"/>
  <c r="N12" i="4"/>
  <c r="M12" i="4"/>
  <c r="L12" i="4"/>
  <c r="O11" i="4"/>
  <c r="N11" i="4"/>
  <c r="M11" i="4"/>
  <c r="L11" i="4"/>
  <c r="O10" i="4"/>
  <c r="N10" i="4"/>
  <c r="M10" i="4"/>
  <c r="L10" i="4"/>
  <c r="O9" i="4"/>
  <c r="N9" i="4"/>
  <c r="M9" i="4"/>
  <c r="L9" i="4"/>
  <c r="O8" i="4"/>
  <c r="N8" i="4"/>
  <c r="M8" i="4"/>
  <c r="L8" i="4"/>
  <c r="O7" i="4"/>
  <c r="N7" i="4"/>
  <c r="M7" i="4"/>
  <c r="L7" i="4"/>
  <c r="O6" i="4"/>
  <c r="N6" i="4"/>
  <c r="M6" i="4"/>
  <c r="L6" i="4"/>
  <c r="O5" i="4"/>
  <c r="N5" i="4"/>
  <c r="M5" i="4"/>
  <c r="L5" i="4"/>
  <c r="O4" i="4"/>
  <c r="N4" i="4"/>
  <c r="M4" i="4"/>
  <c r="L4" i="4"/>
  <c r="O3" i="4"/>
  <c r="N3" i="4"/>
  <c r="M3" i="4"/>
  <c r="L3" i="4"/>
  <c r="O2" i="4"/>
  <c r="N2" i="4"/>
  <c r="M2" i="4"/>
  <c r="L2" i="4"/>
  <c r="B24" i="4"/>
  <c r="G20" i="4"/>
  <c r="F20" i="4"/>
  <c r="E20" i="4"/>
  <c r="D20" i="4"/>
  <c r="G19" i="4"/>
  <c r="F19" i="4"/>
  <c r="E19" i="4"/>
  <c r="D19" i="4"/>
  <c r="G18" i="4"/>
  <c r="F18" i="4"/>
  <c r="E18" i="4"/>
  <c r="D18" i="4"/>
  <c r="G17" i="4"/>
  <c r="F17" i="4"/>
  <c r="E17" i="4"/>
  <c r="D17" i="4"/>
  <c r="G16" i="4"/>
  <c r="F16" i="4"/>
  <c r="E16" i="4"/>
  <c r="D16" i="4"/>
  <c r="G15" i="4"/>
  <c r="F15" i="4"/>
  <c r="E15" i="4"/>
  <c r="D15" i="4"/>
  <c r="G14" i="4"/>
  <c r="F14" i="4"/>
  <c r="E14" i="4"/>
  <c r="D14" i="4"/>
  <c r="G13" i="4"/>
  <c r="F13" i="4"/>
  <c r="E13" i="4"/>
  <c r="D13" i="4"/>
  <c r="G12" i="4"/>
  <c r="F12" i="4"/>
  <c r="E12" i="4"/>
  <c r="D12" i="4"/>
  <c r="G11" i="4"/>
  <c r="F11" i="4"/>
  <c r="E11" i="4"/>
  <c r="D11" i="4"/>
  <c r="G10" i="4"/>
  <c r="F10" i="4"/>
  <c r="E10" i="4"/>
  <c r="D10" i="4"/>
  <c r="G9" i="4"/>
  <c r="F9" i="4"/>
  <c r="E9" i="4"/>
  <c r="D9" i="4"/>
  <c r="G8" i="4"/>
  <c r="F8" i="4"/>
  <c r="E8" i="4"/>
  <c r="D8" i="4"/>
  <c r="G7" i="4"/>
  <c r="F7" i="4"/>
  <c r="E7" i="4"/>
  <c r="D7" i="4"/>
  <c r="G6" i="4"/>
  <c r="F6" i="4"/>
  <c r="E6" i="4"/>
  <c r="D6" i="4"/>
  <c r="G5" i="4"/>
  <c r="F5" i="4"/>
  <c r="E5" i="4"/>
  <c r="D5" i="4"/>
  <c r="G4" i="4"/>
  <c r="F4" i="4"/>
  <c r="E4" i="4"/>
  <c r="D4" i="4"/>
  <c r="G3" i="4"/>
  <c r="F3" i="4"/>
  <c r="E3" i="4"/>
  <c r="D3" i="4"/>
  <c r="G2" i="4"/>
  <c r="F2" i="4"/>
  <c r="E2" i="4"/>
  <c r="D2" i="4"/>
  <c r="D14" i="2" l="1"/>
  <c r="E14" i="2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5" i="2"/>
  <c r="F5" i="2" s="1"/>
  <c r="I8" i="2"/>
  <c r="D6" i="2"/>
  <c r="D7" i="2"/>
  <c r="D8" i="2"/>
  <c r="D9" i="2"/>
  <c r="D10" i="2"/>
  <c r="D11" i="2"/>
  <c r="D12" i="2"/>
  <c r="D13" i="2"/>
  <c r="D5" i="2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7" i="1"/>
  <c r="E7" i="1" s="1"/>
  <c r="F14" i="2" l="1"/>
  <c r="E2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<sst xmlns="http://schemas.openxmlformats.org/spreadsheetml/2006/main" count="133" uniqueCount="73">
  <si>
    <t>Optimization Problem</t>
  </si>
  <si>
    <t>Months experience</t>
  </si>
  <si>
    <t>Average Sales</t>
  </si>
  <si>
    <t>F1</t>
  </si>
  <si>
    <t>F2</t>
  </si>
  <si>
    <t>F3</t>
  </si>
  <si>
    <t>set dummy</t>
  </si>
  <si>
    <t>Model</t>
  </si>
  <si>
    <t>ESS</t>
  </si>
  <si>
    <t>Sr No.</t>
  </si>
  <si>
    <t>Months</t>
  </si>
  <si>
    <t>Workforce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</si>
  <si>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</si>
  <si>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</si>
  <si>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</si>
  <si>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</si>
  <si>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</si>
  <si>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</si>
  <si>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</si>
  <si>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</si>
  <si>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</si>
  <si>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</si>
  <si>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</si>
  <si>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</si>
  <si>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SMA</t>
  </si>
  <si>
    <t>W1</t>
  </si>
  <si>
    <t>W2</t>
  </si>
  <si>
    <t>W3</t>
  </si>
  <si>
    <t>WMA</t>
  </si>
  <si>
    <t>Days absent</t>
  </si>
  <si>
    <t>Age</t>
  </si>
  <si>
    <t>Life status</t>
  </si>
  <si>
    <t>Single</t>
  </si>
  <si>
    <t>Divorced</t>
  </si>
  <si>
    <t>Married</t>
  </si>
  <si>
    <t>Other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</si>
  <si>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</si>
  <si>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</si>
  <si>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</si>
  <si>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</si>
  <si>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</si>
  <si>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</si>
  <si>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</si>
  <si>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</si>
  <si>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</si>
  <si>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</si>
  <si>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</si>
  <si>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</si>
  <si>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</si>
  <si>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</si>
  <si>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</si>
  <si>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</si>
  <si>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</si>
  <si>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</si>
  <si>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</si>
  <si>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</si>
  <si>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</si>
  <si>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</si>
  <si>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</si>
  <si>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</si>
  <si>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Status</t>
  </si>
  <si>
    <t>Prediction</t>
  </si>
  <si>
    <t>Size of Hospital (Beds)</t>
  </si>
  <si>
    <t>No. of Nurses</t>
  </si>
  <si>
    <t>Size</t>
  </si>
  <si>
    <t>Nurses</t>
  </si>
  <si>
    <t>Demand</t>
  </si>
  <si>
    <t>Weeks</t>
  </si>
  <si>
    <t>Prob</t>
  </si>
  <si>
    <t>Regret Table</t>
  </si>
  <si>
    <t>EMV</t>
  </si>
  <si>
    <t>Expected Monetary Value</t>
  </si>
  <si>
    <t>Pay Off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</si>
</sst>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rail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0" fillId="5" borderId="0" xfId="0" applyFill="1"/>
    <xf numFmtId="0" fontId="0" fillId="7" borderId="0" xfId="0" applyFill="1"/>
    <xf numFmtId="0" fontId="0" fillId="6" borderId="1" xfId="0" applyFill="1" applyBorder="1"/>
    <xf numFmtId="2" fontId="0" fillId="6" borderId="1" xfId="0" applyNumberFormat="1" applyFill="1" applyBorder="1"/>
    <xf numFmtId="0" fontId="0" fillId="7" borderId="1" xfId="0" applyFill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0" fillId="7" borderId="0" xfId="0" applyFill="1" applyBorder="1"/>
    <xf numFmtId="0" fontId="0" fillId="7" borderId="4" xfId="0" applyFill="1" applyBorder="1"/>
    <xf numFmtId="1" fontId="0" fillId="0" borderId="0" xfId="0" applyNumberFormat="1" applyFill="1" applyBorder="1" applyAlignment="1"/>
    <xf numFmtId="0" fontId="0" fillId="0" borderId="0" xfId="0"/>
    <xf numFmtId="0" fontId="0" fillId="0" borderId="1" xfId="0" applyBorder="1"/>
    <xf numFmtId="0" fontId="0" fillId="7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213360</xdr:colOff>
      <xdr:row>0</xdr:row>
      <xdr:rowOff>129540</xdr:rowOff>
    </xdr:from>
    <xdr:ext cx="5486400" cy="79124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D5B3283-F210-1E6D-128B-D4E524855BE9}"/>
                </a:ext>
              </a:extLst>
            </xdr:cNvPr>
            <xdr:cNvSpPr txBox="1"/>
          </xdr:nvSpPr>
          <xdr:spPr>
            <a:xfrm>
              <a:off x="2301240" y="129540"/>
              <a:ext cx="5486400" cy="791242"/>
            </a:xfrm>
            <a:prstGeom prst="rect">
              <a:avLst/>
            </a:prstGeom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IN"/>
                <a:t>Determine the optimal number of months an employee should stay in a role before being transferred.</a:t>
              </a:r>
              <a:endParaRPr lang="en-IN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Model=</a:t>
              </a:r>
              <a:r>
                <a:rPr lang="en-IN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r>
                    <a:rPr lang="en-GB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𝑎</m:t>
                  </m:r>
                  <m:sSup>
                    <m:sSupPr>
                      <m:ctrlPr>
                        <a:rPr lang="en-GB" sz="1100" b="0" i="1" u="none" strike="noStrike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GB" sz="1100" b="0" i="1" u="none" strike="noStrike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p>
                      <m:r>
                        <a:rPr lang="en-GB" sz="1100" b="0" i="1" u="none" strike="noStrike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  <m:r>
                    <a:rPr lang="en-GB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n-GB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𝑏𝑥</m:t>
                  </m:r>
                  <m:r>
                    <a:rPr lang="en-GB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n-GB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𝑐</m:t>
                  </m:r>
                </m:oMath>
              </a14:m>
              <a:endParaRPr lang="en-IN" sz="1100"/>
            </a:p>
            <a:p>
              <a:r>
                <a:rPr lang="en-IN" sz="1100"/>
                <a:t>ESS= </a:t>
              </a:r>
              <a14:m>
                <m:oMath xmlns:m="http://schemas.openxmlformats.org/officeDocument/2006/math">
                  <m:sSup>
                    <m:sSupPr>
                      <m:ctrlPr>
                        <a:rPr lang="en-GB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d>
                        <m:dPr>
                          <m:ctrlPr>
                            <a:rPr lang="en-GB" sz="1100" b="0" i="0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n-GB" sz="1100" b="0" i="1">
                              <a:latin typeface="Cambria Math" panose="02040503050406030204" pitchFamily="18" charset="0"/>
                            </a:rPr>
                            <m:t>𝑎𝑐𝑡𝑢𝑎𝑙</m:t>
                          </m:r>
                          <m:r>
                            <a:rPr lang="en-GB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r>
                            <a:rPr lang="en-GB" sz="1100" b="0" i="1">
                              <a:latin typeface="Cambria Math" panose="02040503050406030204" pitchFamily="18" charset="0"/>
                            </a:rPr>
                            <m:t>𝑝𝑟𝑒𝑑𝑖𝑐𝑡𝑒𝑑</m:t>
                          </m:r>
                        </m:e>
                      </m:d>
                    </m:e>
                    <m:sup>
                      <m:r>
                        <a:rPr lang="en-GB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endParaRPr lang="en-GB" sz="1100" b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D5B3283-F210-1E6D-128B-D4E524855BE9}"/>
                </a:ext>
              </a:extLst>
            </xdr:cNvPr>
            <xdr:cNvSpPr txBox="1"/>
          </xdr:nvSpPr>
          <xdr:spPr>
            <a:xfrm>
              <a:off x="2301240" y="129540"/>
              <a:ext cx="5486400" cy="791242"/>
            </a:xfrm>
            <a:prstGeom prst="rect">
              <a:avLst/>
            </a:prstGeom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IN"/>
                <a:t>Determine the optimal number of months an employee should stay in a role before being transferred.</a:t>
              </a:r>
              <a:endParaRPr lang="en-IN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Model=</a:t>
              </a:r>
              <a:r>
                <a:rPr lang="en-IN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𝑎𝑥^2+𝑏𝑥+𝑐</a:t>
              </a:r>
              <a:endParaRPr lang="en-IN" sz="1100"/>
            </a:p>
            <a:p>
              <a:r>
                <a:rPr lang="en-IN" sz="1100"/>
                <a:t>ESS= </a:t>
              </a:r>
              <a:r>
                <a:rPr lang="en-GB" sz="1100" b="0" i="0">
                  <a:latin typeface="Cambria Math" panose="02040503050406030204" pitchFamily="18" charset="0"/>
                </a:rPr>
                <a:t>(𝑎𝑐𝑡𝑢𝑎𝑙−𝑝𝑟𝑒𝑑𝑖𝑐𝑡𝑒𝑑)^2</a:t>
              </a:r>
              <a:endParaRPr lang="en-GB" sz="1100" b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1319-4E54-48A0-8B5C-23D408B3871A}">
  <dimension ref="B2:E27"/>
  <sheetViews>
    <sheetView workbookViewId="0">
      <selection activeCell="H16" sqref="H16"/>
    </sheetView>
  </sheetViews>
  <sheetFormatPr defaultRowHeight="14.4"/>
  <cols>
    <col min="2" max="2" width="11.44140625" customWidth="1"/>
    <col min="3" max="3" width="10.109375" customWidth="1"/>
    <col min="5" max="5" width="10" bestFit="1" customWidth="1"/>
  </cols>
  <sheetData>
    <row r="2" spans="2:5">
      <c r="B2" t="s">
        <v>0</v>
      </c>
    </row>
    <row r="6" spans="2:5" ht="42">
      <c r="B6" s="1" t="s">
        <v>1</v>
      </c>
      <c r="C6" s="1" t="s">
        <v>2</v>
      </c>
      <c r="D6" t="s">
        <v>7</v>
      </c>
      <c r="E6" t="s">
        <v>8</v>
      </c>
    </row>
    <row r="7" spans="2:5">
      <c r="B7" s="2">
        <v>111</v>
      </c>
      <c r="C7" s="2">
        <v>308</v>
      </c>
      <c r="D7">
        <f>$C$25*(B7^2)+$C$26*B7+$C$27</f>
        <v>324.70686943203259</v>
      </c>
      <c r="E7">
        <f>(C7-D7)^2</f>
        <v>279.11948621898495</v>
      </c>
    </row>
    <row r="8" spans="2:5">
      <c r="B8" s="2">
        <v>106</v>
      </c>
      <c r="C8" s="2">
        <v>296</v>
      </c>
      <c r="D8">
        <f t="shared" ref="D8:D21" si="0">$C$25*(B8^2)+$C$26*B8+$C$27</f>
        <v>330.40729686792417</v>
      </c>
      <c r="E8">
        <f t="shared" ref="E8:E21" si="1">(C8-D8)^2</f>
        <v>1183.8620777574647</v>
      </c>
    </row>
    <row r="9" spans="2:5">
      <c r="B9" s="2">
        <v>104</v>
      </c>
      <c r="C9" s="2">
        <v>376</v>
      </c>
      <c r="D9">
        <f t="shared" si="0"/>
        <v>332.20445420892088</v>
      </c>
      <c r="E9">
        <f t="shared" si="1"/>
        <v>1918.0498311385081</v>
      </c>
    </row>
    <row r="10" spans="2:5">
      <c r="B10" s="2">
        <v>85</v>
      </c>
      <c r="C10" s="2">
        <v>367</v>
      </c>
      <c r="D10">
        <f t="shared" si="0"/>
        <v>335.51156039762691</v>
      </c>
      <c r="E10">
        <f t="shared" si="1"/>
        <v>991.52182859229811</v>
      </c>
    </row>
    <row r="11" spans="2:5">
      <c r="B11" s="2">
        <v>76</v>
      </c>
      <c r="C11" s="2">
        <v>317</v>
      </c>
      <c r="D11">
        <f t="shared" si="0"/>
        <v>328.38383898127017</v>
      </c>
      <c r="E11">
        <f t="shared" si="1"/>
        <v>129.59178995148633</v>
      </c>
    </row>
    <row r="12" spans="2:5">
      <c r="B12" s="2">
        <v>56</v>
      </c>
      <c r="C12" s="2">
        <v>325</v>
      </c>
      <c r="D12">
        <f t="shared" si="0"/>
        <v>292.53389324540251</v>
      </c>
      <c r="E12">
        <f t="shared" si="1"/>
        <v>1054.0480878009207</v>
      </c>
    </row>
    <row r="13" spans="2:5">
      <c r="B13" s="2">
        <v>51</v>
      </c>
      <c r="C13" s="2">
        <v>235</v>
      </c>
      <c r="D13">
        <f t="shared" si="0"/>
        <v>279.25878508500671</v>
      </c>
      <c r="E13">
        <f t="shared" si="1"/>
        <v>1958.8400572008122</v>
      </c>
    </row>
    <row r="14" spans="2:5">
      <c r="B14" s="2">
        <v>41</v>
      </c>
      <c r="C14" s="2">
        <v>275</v>
      </c>
      <c r="D14">
        <f t="shared" si="0"/>
        <v>247.53342269250021</v>
      </c>
      <c r="E14">
        <f t="shared" si="1"/>
        <v>754.41286898886244</v>
      </c>
    </row>
    <row r="15" spans="2:5">
      <c r="B15" s="2">
        <v>40</v>
      </c>
      <c r="C15" s="2">
        <v>189</v>
      </c>
      <c r="D15">
        <f t="shared" si="0"/>
        <v>243.98137574132377</v>
      </c>
      <c r="E15">
        <f t="shared" si="1"/>
        <v>3022.9516784086263</v>
      </c>
    </row>
    <row r="16" spans="2:5">
      <c r="B16" s="2">
        <v>22</v>
      </c>
      <c r="C16" s="2">
        <v>162</v>
      </c>
      <c r="D16">
        <f t="shared" si="0"/>
        <v>168.24519757663899</v>
      </c>
      <c r="E16">
        <f t="shared" si="1"/>
        <v>39.002492771257472</v>
      </c>
    </row>
    <row r="17" spans="2:5">
      <c r="B17" s="2">
        <v>19</v>
      </c>
      <c r="C17" s="2">
        <v>189</v>
      </c>
      <c r="D17">
        <f t="shared" si="0"/>
        <v>153.448939865738</v>
      </c>
      <c r="E17">
        <f t="shared" si="1"/>
        <v>1263.8778766699129</v>
      </c>
    </row>
    <row r="18" spans="2:5">
      <c r="B18" s="2">
        <v>12</v>
      </c>
      <c r="C18" s="2">
        <v>150</v>
      </c>
      <c r="D18">
        <f t="shared" si="0"/>
        <v>116.50927037350215</v>
      </c>
      <c r="E18">
        <f t="shared" si="1"/>
        <v>1121.6289709151811</v>
      </c>
    </row>
    <row r="19" spans="2:5">
      <c r="B19" s="2">
        <v>12</v>
      </c>
      <c r="C19" s="2">
        <v>112</v>
      </c>
      <c r="D19">
        <f t="shared" si="0"/>
        <v>116.50927037350215</v>
      </c>
      <c r="E19">
        <f t="shared" si="1"/>
        <v>20.333519301344197</v>
      </c>
    </row>
    <row r="20" spans="2:5">
      <c r="B20" s="2">
        <v>9</v>
      </c>
      <c r="C20" s="2">
        <v>83</v>
      </c>
      <c r="D20">
        <f t="shared" si="0"/>
        <v>99.642954233915248</v>
      </c>
      <c r="E20">
        <f t="shared" si="1"/>
        <v>276.98792563219746</v>
      </c>
    </row>
    <row r="21" spans="2:5">
      <c r="B21" s="2">
        <v>6</v>
      </c>
      <c r="C21" s="2">
        <v>67</v>
      </c>
      <c r="D21">
        <f t="shared" si="0"/>
        <v>82.155620565722586</v>
      </c>
      <c r="E21">
        <f t="shared" si="1"/>
        <v>229.69283473215339</v>
      </c>
    </row>
    <row r="22" spans="2:5">
      <c r="E22" s="5">
        <f>SUM(E7:E21)</f>
        <v>14243.92132608001</v>
      </c>
    </row>
    <row r="24" spans="2:5">
      <c r="B24" t="s">
        <v>6</v>
      </c>
    </row>
    <row r="25" spans="2:5">
      <c r="B25" s="3" t="s">
        <v>3</v>
      </c>
      <c r="C25" s="4">
        <v>-3.4500973811431662E-2</v>
      </c>
    </row>
    <row r="26" spans="2:5">
      <c r="B26" s="3" t="s">
        <v>4</v>
      </c>
      <c r="C26" s="4">
        <v>6.3466258299023623</v>
      </c>
    </row>
    <row r="27" spans="2:5">
      <c r="B27" s="3" t="s">
        <v>5</v>
      </c>
      <c r="C27" s="4">
        <v>45.317900643519948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7A98-5D56-43B9-AED0-D8382614B58A}">
  <dimension ref="A1:I14"/>
  <sheetViews>
    <sheetView workbookViewId="0">
      <selection activeCell="G14" sqref="G14"/>
    </sheetView>
  </sheetViews>
  <sheetFormatPr defaultRowHeight="14.4"/>
  <sheetData>
    <row r="1" spans="1:9">
      <c r="A1" s="4" t="s">
        <v>9</v>
      </c>
      <c r="B1" s="4" t="s">
        <v>10</v>
      </c>
      <c r="C1" s="4" t="s">
        <v>11</v>
      </c>
      <c r="D1" s="7" t="s">
        <v>24</v>
      </c>
      <c r="E1" s="7" t="s">
        <v>28</v>
      </c>
      <c r="F1" s="7" t="s">
        <v>8</v>
      </c>
    </row>
    <row r="2" spans="1:9">
      <c r="A2" s="4">
        <v>1</v>
      </c>
      <c r="B2" s="4" t="s">
        <v>12</v>
      </c>
      <c r="C2" s="4">
        <v>45</v>
      </c>
      <c r="D2" s="7"/>
      <c r="E2" s="7"/>
      <c r="F2" s="7"/>
    </row>
    <row r="3" spans="1:9">
      <c r="A3" s="4">
        <v>2</v>
      </c>
      <c r="B3" s="4" t="s">
        <v>13</v>
      </c>
      <c r="C3" s="4">
        <v>28</v>
      </c>
      <c r="D3" s="7"/>
      <c r="E3" s="7"/>
      <c r="F3" s="7"/>
    </row>
    <row r="4" spans="1:9">
      <c r="A4" s="4">
        <v>3</v>
      </c>
      <c r="B4" s="4" t="s">
        <v>14</v>
      </c>
      <c r="C4" s="4">
        <v>25</v>
      </c>
      <c r="D4" s="7"/>
      <c r="E4" s="7"/>
      <c r="F4" s="7"/>
    </row>
    <row r="5" spans="1:9">
      <c r="A5" s="4">
        <v>4</v>
      </c>
      <c r="B5" s="4" t="s">
        <v>15</v>
      </c>
      <c r="C5" s="4">
        <v>44</v>
      </c>
      <c r="D5" s="8">
        <f>AVERAGE(C2:C4)</f>
        <v>32.666666666666664</v>
      </c>
      <c r="E5" s="7">
        <f>$I$5*C2+$I$6*C3+$I$7*C4</f>
        <v>36.826876782727631</v>
      </c>
      <c r="F5" s="7">
        <f>(C5-E5)^2</f>
        <v>51.45369669017191</v>
      </c>
      <c r="H5" s="9" t="s">
        <v>25</v>
      </c>
      <c r="I5" s="9">
        <v>0.56802984576973181</v>
      </c>
    </row>
    <row r="6" spans="1:9">
      <c r="A6" s="4">
        <v>5</v>
      </c>
      <c r="B6" s="4" t="s">
        <v>16</v>
      </c>
      <c r="C6" s="4">
        <v>22</v>
      </c>
      <c r="D6" s="8">
        <f t="shared" ref="D6:D14" si="0">AVERAGE(C3:C5)</f>
        <v>32.333333333333336</v>
      </c>
      <c r="E6" s="7">
        <f t="shared" ref="E6:E14" si="1">$I$5*C3+$I$6*C4+$I$7*C5</f>
        <v>31.958416871540035</v>
      </c>
      <c r="F6" s="7">
        <f t="shared" ref="F6:F13" si="2">(C6-E6)^2</f>
        <v>99.170066587373213</v>
      </c>
      <c r="H6" s="9" t="s">
        <v>26</v>
      </c>
      <c r="I6" s="9">
        <v>0.15542661295923943</v>
      </c>
    </row>
    <row r="7" spans="1:9">
      <c r="A7" s="4">
        <v>6</v>
      </c>
      <c r="B7" s="4" t="s">
        <v>17</v>
      </c>
      <c r="C7" s="4">
        <v>17</v>
      </c>
      <c r="D7" s="8">
        <f t="shared" si="0"/>
        <v>30.333333333333332</v>
      </c>
      <c r="E7" s="7">
        <f t="shared" si="1"/>
        <v>27.123475047453105</v>
      </c>
      <c r="F7" s="7">
        <f t="shared" si="2"/>
        <v>102.48474703640565</v>
      </c>
      <c r="H7" s="9" t="s">
        <v>27</v>
      </c>
      <c r="I7" s="9">
        <v>0.2765435424092399</v>
      </c>
    </row>
    <row r="8" spans="1:9">
      <c r="A8" s="4">
        <v>7</v>
      </c>
      <c r="B8" s="4" t="s">
        <v>18</v>
      </c>
      <c r="C8" s="4">
        <v>19</v>
      </c>
      <c r="D8" s="8">
        <f t="shared" si="0"/>
        <v>27.666666666666668</v>
      </c>
      <c r="E8" s="7">
        <f t="shared" si="1"/>
        <v>33.113938919928543</v>
      </c>
      <c r="F8" s="7">
        <f t="shared" si="2"/>
        <v>199.20327183547369</v>
      </c>
      <c r="H8" s="9"/>
      <c r="I8" s="9">
        <f>SUM(I5:I7)</f>
        <v>1.0000000011382111</v>
      </c>
    </row>
    <row r="9" spans="1:9">
      <c r="A9" s="4">
        <v>8</v>
      </c>
      <c r="B9" s="4" t="s">
        <v>19</v>
      </c>
      <c r="C9" s="4">
        <v>36</v>
      </c>
      <c r="D9" s="8">
        <f t="shared" si="0"/>
        <v>19.333333333333332</v>
      </c>
      <c r="E9" s="7">
        <f t="shared" si="1"/>
        <v>20.393236333016727</v>
      </c>
      <c r="F9" s="7">
        <f t="shared" si="2"/>
        <v>243.57107215706918</v>
      </c>
    </row>
    <row r="10" spans="1:9">
      <c r="A10" s="4">
        <v>9</v>
      </c>
      <c r="B10" s="4" t="s">
        <v>20</v>
      </c>
      <c r="C10" s="4">
        <v>22</v>
      </c>
      <c r="D10" s="8">
        <f t="shared" si="0"/>
        <v>24</v>
      </c>
      <c r="E10" s="7">
        <f t="shared" si="1"/>
        <v>22.565180551043628</v>
      </c>
      <c r="F10" s="7">
        <f t="shared" si="2"/>
        <v>0.31942905527797932</v>
      </c>
    </row>
    <row r="11" spans="1:9">
      <c r="A11" s="4">
        <v>10</v>
      </c>
      <c r="B11" s="4" t="s">
        <v>21</v>
      </c>
      <c r="C11" s="4">
        <v>35</v>
      </c>
      <c r="D11" s="8">
        <f t="shared" si="0"/>
        <v>25.666666666666668</v>
      </c>
      <c r="E11" s="7">
        <f t="shared" si="1"/>
        <v>22.471883069160803</v>
      </c>
      <c r="F11" s="7">
        <f t="shared" si="2"/>
        <v>156.95371383277973</v>
      </c>
    </row>
    <row r="12" spans="1:9">
      <c r="A12" s="4">
        <v>11</v>
      </c>
      <c r="B12" s="4" t="s">
        <v>22</v>
      </c>
      <c r="C12" s="4">
        <v>41</v>
      </c>
      <c r="D12" s="8">
        <f t="shared" si="0"/>
        <v>31</v>
      </c>
      <c r="E12" s="7">
        <f t="shared" si="1"/>
        <v>33.547483917137008</v>
      </c>
      <c r="F12" s="7">
        <f t="shared" si="2"/>
        <v>55.539995965331556</v>
      </c>
    </row>
    <row r="13" spans="1:9">
      <c r="A13" s="4">
        <v>12</v>
      </c>
      <c r="B13" s="4" t="s">
        <v>23</v>
      </c>
      <c r="C13" s="4">
        <v>25</v>
      </c>
      <c r="D13" s="8">
        <f t="shared" si="0"/>
        <v>32.666666666666664</v>
      </c>
      <c r="E13" s="7">
        <f t="shared" si="1"/>
        <v>29.274873299286313</v>
      </c>
      <c r="F13" s="7">
        <f t="shared" si="2"/>
        <v>18.274541724951042</v>
      </c>
    </row>
    <row r="14" spans="1:9">
      <c r="D14" s="8">
        <f t="shared" si="0"/>
        <v>33.666666666666664</v>
      </c>
      <c r="E14" s="7">
        <f t="shared" si="1"/>
        <v>33.167124293500429</v>
      </c>
      <c r="F14" s="6">
        <f>SUM(F5:F13)</f>
        <v>926.97053488483391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051F-4B82-408A-A624-6A06F1D6B3B5}">
  <dimension ref="A1:Y24"/>
  <sheetViews>
    <sheetView workbookViewId="0">
      <selection activeCell="D25" sqref="D25"/>
    </sheetView>
  </sheetViews>
  <sheetFormatPr defaultRowHeight="14.4"/>
  <cols>
    <col min="1" max="1" width="10.6640625" customWidth="1"/>
    <col min="18" max="18" width="10.5546875" bestFit="1" customWidth="1"/>
  </cols>
  <sheetData>
    <row r="1" spans="1:25">
      <c r="A1" s="9" t="s">
        <v>29</v>
      </c>
      <c r="B1" s="9" t="s">
        <v>30</v>
      </c>
      <c r="C1" s="9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J1" s="9" t="s">
        <v>29</v>
      </c>
      <c r="K1" s="9" t="s">
        <v>30</v>
      </c>
      <c r="L1" s="7" t="s">
        <v>32</v>
      </c>
      <c r="M1" s="7" t="s">
        <v>33</v>
      </c>
      <c r="N1" s="7" t="s">
        <v>34</v>
      </c>
      <c r="O1" s="7" t="s">
        <v>35</v>
      </c>
      <c r="Q1" t="s">
        <v>36</v>
      </c>
    </row>
    <row r="2" spans="1:25" ht="15" thickBot="1">
      <c r="A2" s="9">
        <v>15</v>
      </c>
      <c r="B2" s="9">
        <v>27</v>
      </c>
      <c r="C2" s="9" t="s">
        <v>32</v>
      </c>
      <c r="D2" s="7">
        <f>IF($C2="Single", 1, 0)</f>
        <v>1</v>
      </c>
      <c r="E2" s="7">
        <f>IF($C2="Divorced", 1, 0)</f>
        <v>0</v>
      </c>
      <c r="F2" s="7">
        <f>IF($C2="Married", 1, 0)</f>
        <v>0</v>
      </c>
      <c r="G2" s="7">
        <f>IF($C2="Other", 1, 0)</f>
        <v>0</v>
      </c>
      <c r="J2" s="9">
        <v>15</v>
      </c>
      <c r="K2" s="9">
        <v>27</v>
      </c>
      <c r="L2" s="7">
        <f>IF($C2="Single", 1, 0)</f>
        <v>1</v>
      </c>
      <c r="M2" s="7">
        <f>IF($C2="Divorced", 1, 0)</f>
        <v>0</v>
      </c>
      <c r="N2" s="7">
        <f>IF($C2="Married", 1, 0)</f>
        <v>0</v>
      </c>
      <c r="O2" s="7">
        <f>IF($C2="Other", 1, 0)</f>
        <v>0</v>
      </c>
    </row>
    <row r="3" spans="1:25">
      <c r="A3" s="9">
        <v>40</v>
      </c>
      <c r="B3" s="9">
        <v>61</v>
      </c>
      <c r="C3" s="9" t="s">
        <v>33</v>
      </c>
      <c r="D3" s="7">
        <f t="shared" ref="D3:D20" si="0">IF($C3="Single", 1, 0)</f>
        <v>0</v>
      </c>
      <c r="E3" s="7">
        <f t="shared" ref="E3:E20" si="1">IF($C3="Divorced", 1, 0)</f>
        <v>1</v>
      </c>
      <c r="F3" s="7">
        <f t="shared" ref="F3:F20" si="2">IF($C3="Married", 1, 0)</f>
        <v>0</v>
      </c>
      <c r="G3" s="7">
        <f t="shared" ref="G3:G20" si="3">IF($C3="Other", 1, 0)</f>
        <v>0</v>
      </c>
      <c r="J3" s="9">
        <v>40</v>
      </c>
      <c r="K3" s="9">
        <v>61</v>
      </c>
      <c r="L3" s="7">
        <f t="shared" ref="L3:L20" si="4">IF($C3="Single", 1, 0)</f>
        <v>0</v>
      </c>
      <c r="M3" s="7">
        <f t="shared" ref="M3:M20" si="5">IF($C3="Divorced", 1, 0)</f>
        <v>1</v>
      </c>
      <c r="N3" s="7">
        <f t="shared" ref="N3:N20" si="6">IF($C3="Married", 1, 0)</f>
        <v>0</v>
      </c>
      <c r="O3" s="7">
        <f t="shared" ref="O3:O20" si="7">IF($C3="Other", 1, 0)</f>
        <v>0</v>
      </c>
      <c r="Q3" s="13" t="s">
        <v>37</v>
      </c>
      <c r="R3" s="13"/>
    </row>
    <row r="4" spans="1:25">
      <c r="A4" s="9">
        <v>10</v>
      </c>
      <c r="B4" s="9">
        <v>37</v>
      </c>
      <c r="C4" s="9" t="s">
        <v>34</v>
      </c>
      <c r="D4" s="7">
        <f t="shared" si="0"/>
        <v>0</v>
      </c>
      <c r="E4" s="7">
        <f t="shared" si="1"/>
        <v>0</v>
      </c>
      <c r="F4" s="7">
        <f t="shared" si="2"/>
        <v>1</v>
      </c>
      <c r="G4" s="7">
        <f t="shared" si="3"/>
        <v>0</v>
      </c>
      <c r="J4" s="9">
        <v>10</v>
      </c>
      <c r="K4" s="9">
        <v>37</v>
      </c>
      <c r="L4" s="7">
        <f t="shared" si="4"/>
        <v>0</v>
      </c>
      <c r="M4" s="7">
        <f t="shared" si="5"/>
        <v>0</v>
      </c>
      <c r="N4" s="7">
        <f t="shared" si="6"/>
        <v>1</v>
      </c>
      <c r="O4" s="7">
        <f t="shared" si="7"/>
        <v>0</v>
      </c>
      <c r="Q4" s="10" t="s">
        <v>38</v>
      </c>
      <c r="R4" s="10">
        <v>0.87198967359275803</v>
      </c>
    </row>
    <row r="5" spans="1:25">
      <c r="A5" s="9">
        <v>18</v>
      </c>
      <c r="B5" s="9">
        <v>23</v>
      </c>
      <c r="C5" s="9" t="s">
        <v>34</v>
      </c>
      <c r="D5" s="7">
        <f t="shared" si="0"/>
        <v>0</v>
      </c>
      <c r="E5" s="7">
        <f t="shared" si="1"/>
        <v>0</v>
      </c>
      <c r="F5" s="7">
        <f t="shared" si="2"/>
        <v>1</v>
      </c>
      <c r="G5" s="7">
        <f t="shared" si="3"/>
        <v>0</v>
      </c>
      <c r="J5" s="9">
        <v>18</v>
      </c>
      <c r="K5" s="9">
        <v>23</v>
      </c>
      <c r="L5" s="7">
        <f t="shared" si="4"/>
        <v>0</v>
      </c>
      <c r="M5" s="7">
        <f t="shared" si="5"/>
        <v>0</v>
      </c>
      <c r="N5" s="7">
        <f t="shared" si="6"/>
        <v>1</v>
      </c>
      <c r="O5" s="7">
        <f t="shared" si="7"/>
        <v>0</v>
      </c>
      <c r="Q5" s="10" t="s">
        <v>39</v>
      </c>
      <c r="R5" s="10">
        <v>0.76036599085240475</v>
      </c>
    </row>
    <row r="6" spans="1:25">
      <c r="A6" s="9">
        <v>9</v>
      </c>
      <c r="B6" s="9">
        <v>46</v>
      </c>
      <c r="C6" s="9" t="s">
        <v>35</v>
      </c>
      <c r="D6" s="7">
        <f t="shared" si="0"/>
        <v>0</v>
      </c>
      <c r="E6" s="7">
        <f t="shared" si="1"/>
        <v>0</v>
      </c>
      <c r="F6" s="7">
        <f t="shared" si="2"/>
        <v>0</v>
      </c>
      <c r="G6" s="7">
        <f t="shared" si="3"/>
        <v>1</v>
      </c>
      <c r="J6" s="9">
        <v>9</v>
      </c>
      <c r="K6" s="9">
        <v>46</v>
      </c>
      <c r="L6" s="7">
        <f t="shared" si="4"/>
        <v>0</v>
      </c>
      <c r="M6" s="7">
        <f t="shared" si="5"/>
        <v>0</v>
      </c>
      <c r="N6" s="7">
        <f t="shared" si="6"/>
        <v>0</v>
      </c>
      <c r="O6" s="7">
        <f t="shared" si="7"/>
        <v>1</v>
      </c>
      <c r="Q6" s="10" t="s">
        <v>40</v>
      </c>
      <c r="R6" s="10">
        <v>0.62047055966737752</v>
      </c>
    </row>
    <row r="7" spans="1:25">
      <c r="A7" s="9">
        <v>20</v>
      </c>
      <c r="B7" s="9">
        <v>58</v>
      </c>
      <c r="C7" s="9" t="s">
        <v>35</v>
      </c>
      <c r="D7" s="7">
        <f t="shared" si="0"/>
        <v>0</v>
      </c>
      <c r="E7" s="7">
        <f t="shared" si="1"/>
        <v>0</v>
      </c>
      <c r="F7" s="7">
        <f t="shared" si="2"/>
        <v>0</v>
      </c>
      <c r="G7" s="7">
        <f t="shared" si="3"/>
        <v>1</v>
      </c>
      <c r="J7" s="9">
        <v>20</v>
      </c>
      <c r="K7" s="9">
        <v>58</v>
      </c>
      <c r="L7" s="7">
        <f t="shared" si="4"/>
        <v>0</v>
      </c>
      <c r="M7" s="7">
        <f t="shared" si="5"/>
        <v>0</v>
      </c>
      <c r="N7" s="7">
        <f t="shared" si="6"/>
        <v>0</v>
      </c>
      <c r="O7" s="7">
        <f t="shared" si="7"/>
        <v>1</v>
      </c>
      <c r="Q7" s="10" t="s">
        <v>41</v>
      </c>
      <c r="R7" s="10">
        <v>7.009434992431709</v>
      </c>
    </row>
    <row r="8" spans="1:25" ht="15" thickBot="1">
      <c r="A8" s="9">
        <v>14</v>
      </c>
      <c r="B8" s="9">
        <v>29</v>
      </c>
      <c r="C8" s="9" t="s">
        <v>35</v>
      </c>
      <c r="D8" s="7">
        <f t="shared" si="0"/>
        <v>0</v>
      </c>
      <c r="E8" s="7">
        <f t="shared" si="1"/>
        <v>0</v>
      </c>
      <c r="F8" s="7">
        <f t="shared" si="2"/>
        <v>0</v>
      </c>
      <c r="G8" s="7">
        <f t="shared" si="3"/>
        <v>1</v>
      </c>
      <c r="J8" s="9">
        <v>14</v>
      </c>
      <c r="K8" s="9">
        <v>29</v>
      </c>
      <c r="L8" s="7">
        <f t="shared" si="4"/>
        <v>0</v>
      </c>
      <c r="M8" s="7">
        <f t="shared" si="5"/>
        <v>0</v>
      </c>
      <c r="N8" s="7">
        <f t="shared" si="6"/>
        <v>0</v>
      </c>
      <c r="O8" s="7">
        <f t="shared" si="7"/>
        <v>1</v>
      </c>
      <c r="Q8" s="11" t="s">
        <v>42</v>
      </c>
      <c r="R8" s="11">
        <v>19</v>
      </c>
    </row>
    <row r="9" spans="1:25">
      <c r="A9" s="9">
        <v>32</v>
      </c>
      <c r="B9" s="9">
        <v>67</v>
      </c>
      <c r="C9" s="9" t="s">
        <v>32</v>
      </c>
      <c r="D9" s="7">
        <f t="shared" si="0"/>
        <v>1</v>
      </c>
      <c r="E9" s="7">
        <f t="shared" si="1"/>
        <v>0</v>
      </c>
      <c r="F9" s="7">
        <f t="shared" si="2"/>
        <v>0</v>
      </c>
      <c r="G9" s="7">
        <f t="shared" si="3"/>
        <v>0</v>
      </c>
      <c r="J9" s="9">
        <v>32</v>
      </c>
      <c r="K9" s="9">
        <v>67</v>
      </c>
      <c r="L9" s="7">
        <f t="shared" si="4"/>
        <v>1</v>
      </c>
      <c r="M9" s="7">
        <f t="shared" si="5"/>
        <v>0</v>
      </c>
      <c r="N9" s="7">
        <f t="shared" si="6"/>
        <v>0</v>
      </c>
      <c r="O9" s="7">
        <f t="shared" si="7"/>
        <v>0</v>
      </c>
    </row>
    <row r="10" spans="1:25" ht="15" thickBot="1">
      <c r="A10" s="9">
        <v>8</v>
      </c>
      <c r="B10" s="9">
        <v>40</v>
      </c>
      <c r="C10" s="9" t="s">
        <v>34</v>
      </c>
      <c r="D10" s="7">
        <f t="shared" si="0"/>
        <v>0</v>
      </c>
      <c r="E10" s="7">
        <f t="shared" si="1"/>
        <v>0</v>
      </c>
      <c r="F10" s="7">
        <f t="shared" si="2"/>
        <v>1</v>
      </c>
      <c r="G10" s="7">
        <f t="shared" si="3"/>
        <v>0</v>
      </c>
      <c r="J10" s="9">
        <v>8</v>
      </c>
      <c r="K10" s="9">
        <v>40</v>
      </c>
      <c r="L10" s="7">
        <f t="shared" si="4"/>
        <v>0</v>
      </c>
      <c r="M10" s="7">
        <f t="shared" si="5"/>
        <v>0</v>
      </c>
      <c r="N10" s="7">
        <f t="shared" si="6"/>
        <v>1</v>
      </c>
      <c r="O10" s="7">
        <f t="shared" si="7"/>
        <v>0</v>
      </c>
      <c r="Q10" t="s">
        <v>43</v>
      </c>
    </row>
    <row r="11" spans="1:25">
      <c r="A11" s="9">
        <v>18</v>
      </c>
      <c r="B11" s="9">
        <v>57</v>
      </c>
      <c r="C11" s="9" t="s">
        <v>35</v>
      </c>
      <c r="D11" s="7">
        <f t="shared" si="0"/>
        <v>0</v>
      </c>
      <c r="E11" s="7">
        <f t="shared" si="1"/>
        <v>0</v>
      </c>
      <c r="F11" s="7">
        <f t="shared" si="2"/>
        <v>0</v>
      </c>
      <c r="G11" s="7">
        <f t="shared" si="3"/>
        <v>1</v>
      </c>
      <c r="J11" s="9">
        <v>18</v>
      </c>
      <c r="K11" s="9">
        <v>57</v>
      </c>
      <c r="L11" s="7">
        <f t="shared" si="4"/>
        <v>0</v>
      </c>
      <c r="M11" s="7">
        <f t="shared" si="5"/>
        <v>0</v>
      </c>
      <c r="N11" s="7">
        <f t="shared" si="6"/>
        <v>0</v>
      </c>
      <c r="O11" s="7">
        <f t="shared" si="7"/>
        <v>1</v>
      </c>
      <c r="Q11" s="12"/>
      <c r="R11" s="12" t="s">
        <v>48</v>
      </c>
      <c r="S11" s="12" t="s">
        <v>49</v>
      </c>
      <c r="T11" s="12" t="s">
        <v>50</v>
      </c>
      <c r="U11" s="12" t="s">
        <v>51</v>
      </c>
      <c r="V11" s="12" t="s">
        <v>52</v>
      </c>
    </row>
    <row r="12" spans="1:25">
      <c r="A12" s="9">
        <v>8</v>
      </c>
      <c r="B12" s="9">
        <v>28</v>
      </c>
      <c r="C12" s="9" t="s">
        <v>34</v>
      </c>
      <c r="D12" s="7">
        <f t="shared" si="0"/>
        <v>0</v>
      </c>
      <c r="E12" s="7">
        <f t="shared" si="1"/>
        <v>0</v>
      </c>
      <c r="F12" s="7">
        <f t="shared" si="2"/>
        <v>1</v>
      </c>
      <c r="G12" s="7">
        <f t="shared" si="3"/>
        <v>0</v>
      </c>
      <c r="J12" s="9">
        <v>8</v>
      </c>
      <c r="K12" s="9">
        <v>28</v>
      </c>
      <c r="L12" s="7">
        <f t="shared" si="4"/>
        <v>0</v>
      </c>
      <c r="M12" s="7">
        <f t="shared" si="5"/>
        <v>0</v>
      </c>
      <c r="N12" s="7">
        <f t="shared" si="6"/>
        <v>1</v>
      </c>
      <c r="O12" s="7">
        <f t="shared" si="7"/>
        <v>0</v>
      </c>
      <c r="Q12" s="10" t="s">
        <v>44</v>
      </c>
      <c r="R12" s="10">
        <v>5</v>
      </c>
      <c r="S12" s="10">
        <v>2182.570547847813</v>
      </c>
      <c r="T12" s="10">
        <v>436.51410956956261</v>
      </c>
      <c r="U12" s="10">
        <v>11.10560632628853</v>
      </c>
      <c r="V12" s="10">
        <v>2.5138724825262153E-4</v>
      </c>
    </row>
    <row r="13" spans="1:25">
      <c r="A13" s="9">
        <v>35</v>
      </c>
      <c r="B13" s="9">
        <v>60</v>
      </c>
      <c r="C13" s="9" t="s">
        <v>33</v>
      </c>
      <c r="D13" s="7">
        <f t="shared" si="0"/>
        <v>0</v>
      </c>
      <c r="E13" s="7">
        <f t="shared" si="1"/>
        <v>1</v>
      </c>
      <c r="F13" s="7">
        <f t="shared" si="2"/>
        <v>0</v>
      </c>
      <c r="G13" s="7">
        <f t="shared" si="3"/>
        <v>0</v>
      </c>
      <c r="J13" s="9">
        <v>35</v>
      </c>
      <c r="K13" s="9">
        <v>60</v>
      </c>
      <c r="L13" s="7">
        <f t="shared" si="4"/>
        <v>0</v>
      </c>
      <c r="M13" s="7">
        <f t="shared" si="5"/>
        <v>1</v>
      </c>
      <c r="N13" s="7">
        <f t="shared" si="6"/>
        <v>0</v>
      </c>
      <c r="O13" s="7">
        <f t="shared" si="7"/>
        <v>0</v>
      </c>
      <c r="Q13" s="10" t="s">
        <v>45</v>
      </c>
      <c r="R13" s="10">
        <v>14</v>
      </c>
      <c r="S13" s="10">
        <v>687.85050478376559</v>
      </c>
      <c r="T13" s="10">
        <v>49.132178913126111</v>
      </c>
      <c r="U13" s="10"/>
      <c r="V13" s="10"/>
    </row>
    <row r="14" spans="1:25" ht="15" thickBot="1">
      <c r="A14" s="9">
        <v>24</v>
      </c>
      <c r="B14" s="9">
        <v>39</v>
      </c>
      <c r="C14" s="9" t="s">
        <v>33</v>
      </c>
      <c r="D14" s="7">
        <f t="shared" si="0"/>
        <v>0</v>
      </c>
      <c r="E14" s="7">
        <f t="shared" si="1"/>
        <v>1</v>
      </c>
      <c r="F14" s="7">
        <f t="shared" si="2"/>
        <v>0</v>
      </c>
      <c r="G14" s="7">
        <f t="shared" si="3"/>
        <v>0</v>
      </c>
      <c r="J14" s="9">
        <v>24</v>
      </c>
      <c r="K14" s="9">
        <v>39</v>
      </c>
      <c r="L14" s="7">
        <f t="shared" si="4"/>
        <v>0</v>
      </c>
      <c r="M14" s="7">
        <f t="shared" si="5"/>
        <v>1</v>
      </c>
      <c r="N14" s="7">
        <f t="shared" si="6"/>
        <v>0</v>
      </c>
      <c r="O14" s="7">
        <f t="shared" si="7"/>
        <v>0</v>
      </c>
      <c r="Q14" s="11" t="s">
        <v>46</v>
      </c>
      <c r="R14" s="11">
        <v>19</v>
      </c>
      <c r="S14" s="11">
        <v>2870.4210526315787</v>
      </c>
      <c r="T14" s="11"/>
      <c r="U14" s="11"/>
      <c r="V14" s="11"/>
    </row>
    <row r="15" spans="1:25" ht="15" thickBot="1">
      <c r="A15" s="9">
        <v>11</v>
      </c>
      <c r="B15" s="9">
        <v>35</v>
      </c>
      <c r="C15" s="9" t="s">
        <v>32</v>
      </c>
      <c r="D15" s="7">
        <f t="shared" si="0"/>
        <v>1</v>
      </c>
      <c r="E15" s="7">
        <f t="shared" si="1"/>
        <v>0</v>
      </c>
      <c r="F15" s="7">
        <f t="shared" si="2"/>
        <v>0</v>
      </c>
      <c r="G15" s="7">
        <f t="shared" si="3"/>
        <v>0</v>
      </c>
      <c r="J15" s="9">
        <v>11</v>
      </c>
      <c r="K15" s="9">
        <v>35</v>
      </c>
      <c r="L15" s="7">
        <f t="shared" si="4"/>
        <v>1</v>
      </c>
      <c r="M15" s="7">
        <f t="shared" si="5"/>
        <v>0</v>
      </c>
      <c r="N15" s="7">
        <f t="shared" si="6"/>
        <v>0</v>
      </c>
      <c r="O15" s="7">
        <f t="shared" si="7"/>
        <v>0</v>
      </c>
    </row>
    <row r="16" spans="1:25">
      <c r="A16" s="9">
        <v>21</v>
      </c>
      <c r="B16" s="9">
        <v>45</v>
      </c>
      <c r="C16" s="9" t="s">
        <v>32</v>
      </c>
      <c r="D16" s="7">
        <f t="shared" si="0"/>
        <v>1</v>
      </c>
      <c r="E16" s="7">
        <f t="shared" si="1"/>
        <v>0</v>
      </c>
      <c r="F16" s="7">
        <f t="shared" si="2"/>
        <v>0</v>
      </c>
      <c r="G16" s="7">
        <f t="shared" si="3"/>
        <v>0</v>
      </c>
      <c r="J16" s="9">
        <v>21</v>
      </c>
      <c r="K16" s="9">
        <v>45</v>
      </c>
      <c r="L16" s="7">
        <f t="shared" si="4"/>
        <v>1</v>
      </c>
      <c r="M16" s="7">
        <f t="shared" si="5"/>
        <v>0</v>
      </c>
      <c r="N16" s="7">
        <f t="shared" si="6"/>
        <v>0</v>
      </c>
      <c r="O16" s="7">
        <f t="shared" si="7"/>
        <v>0</v>
      </c>
      <c r="Q16" s="12"/>
      <c r="R16" s="12" t="s">
        <v>53</v>
      </c>
      <c r="S16" s="12" t="s">
        <v>41</v>
      </c>
      <c r="T16" s="12" t="s">
        <v>54</v>
      </c>
      <c r="U16" s="12" t="s">
        <v>55</v>
      </c>
      <c r="V16" s="12" t="s">
        <v>56</v>
      </c>
      <c r="W16" s="12" t="s">
        <v>57</v>
      </c>
      <c r="X16" s="12" t="s">
        <v>58</v>
      </c>
      <c r="Y16" s="12" t="s">
        <v>59</v>
      </c>
    </row>
    <row r="17" spans="1:25">
      <c r="A17" s="9">
        <v>5</v>
      </c>
      <c r="B17" s="9">
        <v>23</v>
      </c>
      <c r="C17" s="9" t="s">
        <v>35</v>
      </c>
      <c r="D17" s="7">
        <f t="shared" si="0"/>
        <v>0</v>
      </c>
      <c r="E17" s="7">
        <f t="shared" si="1"/>
        <v>0</v>
      </c>
      <c r="F17" s="7">
        <f t="shared" si="2"/>
        <v>0</v>
      </c>
      <c r="G17" s="7">
        <f t="shared" si="3"/>
        <v>1</v>
      </c>
      <c r="J17" s="9">
        <v>5</v>
      </c>
      <c r="K17" s="9">
        <v>23</v>
      </c>
      <c r="L17" s="7">
        <f t="shared" si="4"/>
        <v>0</v>
      </c>
      <c r="M17" s="7">
        <f t="shared" si="5"/>
        <v>0</v>
      </c>
      <c r="N17" s="7">
        <f t="shared" si="6"/>
        <v>0</v>
      </c>
      <c r="O17" s="7">
        <f t="shared" si="7"/>
        <v>1</v>
      </c>
      <c r="Q17" s="10" t="s">
        <v>47</v>
      </c>
      <c r="R17" s="10">
        <v>-1.0813341729468553</v>
      </c>
      <c r="S17" s="10">
        <v>5.7203816051566632</v>
      </c>
      <c r="T17" s="10">
        <v>-0.18903182472513405</v>
      </c>
      <c r="U17" s="10">
        <v>0.85278086428355049</v>
      </c>
      <c r="V17" s="10">
        <v>-13.350332489496749</v>
      </c>
      <c r="W17" s="10">
        <v>11.187664143603039</v>
      </c>
      <c r="X17" s="10">
        <v>-13.350332489496749</v>
      </c>
      <c r="Y17" s="10">
        <v>11.187664143603039</v>
      </c>
    </row>
    <row r="18" spans="1:25">
      <c r="A18" s="9">
        <v>9</v>
      </c>
      <c r="B18" s="9">
        <v>48</v>
      </c>
      <c r="C18" s="9" t="s">
        <v>35</v>
      </c>
      <c r="D18" s="7">
        <f t="shared" si="0"/>
        <v>0</v>
      </c>
      <c r="E18" s="7">
        <f t="shared" si="1"/>
        <v>0</v>
      </c>
      <c r="F18" s="7">
        <f t="shared" si="2"/>
        <v>0</v>
      </c>
      <c r="G18" s="7">
        <f t="shared" si="3"/>
        <v>1</v>
      </c>
      <c r="J18" s="9">
        <v>9</v>
      </c>
      <c r="K18" s="9">
        <v>48</v>
      </c>
      <c r="L18" s="7">
        <f t="shared" si="4"/>
        <v>0</v>
      </c>
      <c r="M18" s="7">
        <f t="shared" si="5"/>
        <v>0</v>
      </c>
      <c r="N18" s="7">
        <f t="shared" si="6"/>
        <v>0</v>
      </c>
      <c r="O18" s="7">
        <f t="shared" si="7"/>
        <v>1</v>
      </c>
      <c r="Q18" s="10" t="s">
        <v>30</v>
      </c>
      <c r="R18" s="10">
        <v>0.37754169290458917</v>
      </c>
      <c r="S18" s="10">
        <v>0.14128221763497564</v>
      </c>
      <c r="T18" s="10">
        <v>2.6722520301884436</v>
      </c>
      <c r="U18" s="10">
        <v>1.821951517001353E-2</v>
      </c>
      <c r="V18" s="10">
        <v>7.4521473281587369E-2</v>
      </c>
      <c r="W18" s="10">
        <v>0.68056191252759102</v>
      </c>
      <c r="X18" s="10">
        <v>7.4521473281587369E-2</v>
      </c>
      <c r="Y18" s="10">
        <v>0.68056191252759102</v>
      </c>
    </row>
    <row r="19" spans="1:25">
      <c r="A19" s="9">
        <v>49</v>
      </c>
      <c r="B19" s="9">
        <v>55</v>
      </c>
      <c r="C19" s="9" t="s">
        <v>33</v>
      </c>
      <c r="D19" s="7">
        <f t="shared" si="0"/>
        <v>0</v>
      </c>
      <c r="E19" s="7">
        <f t="shared" si="1"/>
        <v>1</v>
      </c>
      <c r="F19" s="7">
        <f t="shared" si="2"/>
        <v>0</v>
      </c>
      <c r="G19" s="7">
        <f t="shared" si="3"/>
        <v>0</v>
      </c>
      <c r="J19" s="9">
        <v>49</v>
      </c>
      <c r="K19" s="9">
        <v>55</v>
      </c>
      <c r="L19" s="7">
        <f t="shared" si="4"/>
        <v>0</v>
      </c>
      <c r="M19" s="7">
        <f t="shared" si="5"/>
        <v>1</v>
      </c>
      <c r="N19" s="7">
        <f t="shared" si="6"/>
        <v>0</v>
      </c>
      <c r="O19" s="7">
        <f t="shared" si="7"/>
        <v>0</v>
      </c>
      <c r="Q19" s="10" t="s">
        <v>32</v>
      </c>
      <c r="R19" s="10">
        <v>1.3980580552113548</v>
      </c>
      <c r="S19" s="10">
        <v>4.9348009921918665</v>
      </c>
      <c r="T19" s="10">
        <v>0.28330586328069657</v>
      </c>
      <c r="U19" s="10">
        <v>0.78108855442671443</v>
      </c>
      <c r="V19" s="10">
        <v>-9.1860374203653343</v>
      </c>
      <c r="W19" s="10">
        <v>11.982153530788043</v>
      </c>
      <c r="X19" s="10">
        <v>-9.1860374203653343</v>
      </c>
      <c r="Y19" s="10">
        <v>11.982153530788043</v>
      </c>
    </row>
    <row r="20" spans="1:25">
      <c r="A20" s="9">
        <v>3</v>
      </c>
      <c r="B20" s="9">
        <v>39</v>
      </c>
      <c r="C20" s="9" t="s">
        <v>32</v>
      </c>
      <c r="D20" s="7">
        <f t="shared" si="0"/>
        <v>1</v>
      </c>
      <c r="E20" s="7">
        <f t="shared" si="1"/>
        <v>0</v>
      </c>
      <c r="F20" s="7">
        <f t="shared" si="2"/>
        <v>0</v>
      </c>
      <c r="G20" s="7">
        <f t="shared" si="3"/>
        <v>0</v>
      </c>
      <c r="J20" s="9">
        <v>3</v>
      </c>
      <c r="K20" s="9">
        <v>39</v>
      </c>
      <c r="L20" s="7">
        <f t="shared" si="4"/>
        <v>1</v>
      </c>
      <c r="M20" s="7">
        <f t="shared" si="5"/>
        <v>0</v>
      </c>
      <c r="N20" s="7">
        <f t="shared" si="6"/>
        <v>0</v>
      </c>
      <c r="O20" s="7">
        <f t="shared" si="7"/>
        <v>0</v>
      </c>
      <c r="Q20" s="10" t="s">
        <v>33</v>
      </c>
      <c r="R20" s="10">
        <v>17.788468179325189</v>
      </c>
      <c r="S20" s="10">
        <v>5.8317005712329726</v>
      </c>
      <c r="T20" s="10">
        <v>3.0503054747140843</v>
      </c>
      <c r="U20" s="10">
        <v>8.6445568915620198E-3</v>
      </c>
      <c r="V20" s="10">
        <v>5.2807144262220547</v>
      </c>
      <c r="W20" s="10">
        <v>30.296221932428324</v>
      </c>
      <c r="X20" s="10">
        <v>5.2807144262220547</v>
      </c>
      <c r="Y20" s="10">
        <v>30.296221932428324</v>
      </c>
    </row>
    <row r="21" spans="1:25">
      <c r="J21" cm="1">
        <f t="array" ref="J21">MMULT(K21:O21,$R$18:$R$22)</f>
        <v>13.21395925166062</v>
      </c>
      <c r="K21" s="15">
        <v>35</v>
      </c>
      <c r="L21">
        <v>0</v>
      </c>
      <c r="M21">
        <v>0</v>
      </c>
      <c r="N21">
        <v>1</v>
      </c>
      <c r="O21">
        <v>0</v>
      </c>
      <c r="Q21" s="10" t="s">
        <v>34</v>
      </c>
      <c r="R21" s="16">
        <v>0</v>
      </c>
      <c r="S21" s="10">
        <v>0</v>
      </c>
      <c r="T21" s="10">
        <v>65535</v>
      </c>
      <c r="U21" s="10" t="e">
        <v>#NUM!</v>
      </c>
      <c r="V21" s="10">
        <v>0</v>
      </c>
      <c r="W21" s="10">
        <v>0</v>
      </c>
      <c r="X21" s="10">
        <v>0</v>
      </c>
      <c r="Y21" s="10">
        <v>0</v>
      </c>
    </row>
    <row r="22" spans="1:25" ht="15" thickBot="1">
      <c r="A22" t="s">
        <v>30</v>
      </c>
      <c r="B22" s="14">
        <v>35</v>
      </c>
      <c r="J22" cm="1">
        <f t="array" ref="J22">MMULT(K22:O22,$R$18:$R$22)</f>
        <v>15.101667716183567</v>
      </c>
      <c r="K22" s="15">
        <v>40</v>
      </c>
      <c r="L22">
        <v>0</v>
      </c>
      <c r="M22">
        <v>0</v>
      </c>
      <c r="N22">
        <v>1</v>
      </c>
      <c r="O22">
        <v>0</v>
      </c>
      <c r="Q22" s="11" t="s">
        <v>35</v>
      </c>
      <c r="R22" s="11">
        <v>-2.8417294684027765</v>
      </c>
      <c r="S22" s="11">
        <v>4.8074462204665984</v>
      </c>
      <c r="T22" s="11">
        <v>-0.59110998606802212</v>
      </c>
      <c r="U22" s="11" t="e">
        <v>#NUM!</v>
      </c>
      <c r="V22" s="11">
        <v>-13.152676124940299</v>
      </c>
      <c r="W22" s="11">
        <v>7.4692171881347456</v>
      </c>
      <c r="X22" s="11">
        <v>-13.152676124940299</v>
      </c>
      <c r="Y22" s="11">
        <v>7.4692171881347456</v>
      </c>
    </row>
    <row r="23" spans="1:25">
      <c r="A23" t="s">
        <v>60</v>
      </c>
      <c r="B23" t="s">
        <v>34</v>
      </c>
      <c r="J23" cm="1">
        <f t="array" ref="J23">MMULT(K23:O23,$R$18:$R$22)</f>
        <v>30.203335432367133</v>
      </c>
      <c r="K23" s="15">
        <v>80</v>
      </c>
      <c r="L23">
        <v>0</v>
      </c>
      <c r="M23">
        <v>0</v>
      </c>
      <c r="N23">
        <v>1</v>
      </c>
      <c r="O23">
        <v>0</v>
      </c>
    </row>
    <row r="24" spans="1:25">
      <c r="A24" t="s">
        <v>61</v>
      </c>
      <c r="B24">
        <f>K20+K25*B22+K23*1</f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FBA7-9313-4E63-99DE-D06843ABF350}">
  <dimension ref="A1:L18"/>
  <sheetViews>
    <sheetView workbookViewId="0">
      <selection activeCell="C5" sqref="C5"/>
    </sheetView>
  </sheetViews>
  <sheetFormatPr defaultRowHeight="14.4"/>
  <cols>
    <col min="1" max="1" width="12.88671875" customWidth="1"/>
    <col min="2" max="2" width="11.6640625" customWidth="1"/>
    <col min="4" max="4" width="18.88671875" customWidth="1"/>
  </cols>
  <sheetData>
    <row r="1" spans="1:12">
      <c r="A1" s="7" t="s">
        <v>62</v>
      </c>
      <c r="B1" s="19" t="s">
        <v>63</v>
      </c>
      <c r="D1" t="s">
        <v>36</v>
      </c>
    </row>
    <row r="2" spans="1:12" ht="15" thickBot="1">
      <c r="A2" s="7">
        <v>200</v>
      </c>
      <c r="B2" s="19">
        <v>240</v>
      </c>
    </row>
    <row r="3" spans="1:12">
      <c r="A3" s="7">
        <v>300</v>
      </c>
      <c r="B3" s="19">
        <v>260</v>
      </c>
      <c r="D3" s="13" t="s">
        <v>37</v>
      </c>
      <c r="E3" s="13"/>
    </row>
    <row r="4" spans="1:12">
      <c r="A4" s="7">
        <v>400</v>
      </c>
      <c r="B4" s="19">
        <v>470</v>
      </c>
      <c r="D4" s="10" t="s">
        <v>38</v>
      </c>
      <c r="E4" s="10">
        <v>0.98650371641970669</v>
      </c>
      <c r="I4" s="7" t="s">
        <v>64</v>
      </c>
      <c r="J4" s="7">
        <v>755</v>
      </c>
    </row>
    <row r="5" spans="1:12">
      <c r="A5" s="7">
        <v>500</v>
      </c>
      <c r="B5" s="19">
        <v>500</v>
      </c>
      <c r="D5" s="10" t="s">
        <v>39</v>
      </c>
      <c r="E5" s="10">
        <v>0.97318958250989318</v>
      </c>
      <c r="I5" s="7" t="s">
        <v>65</v>
      </c>
      <c r="J5" s="7">
        <f>E17+J4*E18</f>
        <v>744.83928571428567</v>
      </c>
    </row>
    <row r="6" spans="1:12">
      <c r="A6" s="7">
        <v>600</v>
      </c>
      <c r="B6" s="19">
        <v>620</v>
      </c>
      <c r="D6" s="10" t="s">
        <v>40</v>
      </c>
      <c r="E6" s="10">
        <v>0.96872117959487536</v>
      </c>
    </row>
    <row r="7" spans="1:12">
      <c r="A7" s="7">
        <v>700</v>
      </c>
      <c r="B7" s="19">
        <v>660</v>
      </c>
      <c r="D7" s="10" t="s">
        <v>41</v>
      </c>
      <c r="E7" s="10">
        <v>40.934035204157887</v>
      </c>
    </row>
    <row r="8" spans="1:12" ht="15" thickBot="1">
      <c r="A8" s="7">
        <v>800</v>
      </c>
      <c r="B8" s="19">
        <v>820</v>
      </c>
      <c r="D8" s="11" t="s">
        <v>42</v>
      </c>
      <c r="E8" s="11">
        <v>8</v>
      </c>
    </row>
    <row r="9" spans="1:12">
      <c r="A9" s="7">
        <v>900</v>
      </c>
      <c r="B9" s="19">
        <v>860</v>
      </c>
    </row>
    <row r="10" spans="1:12" ht="15" thickBot="1">
      <c r="D10" t="s">
        <v>43</v>
      </c>
    </row>
    <row r="11" spans="1:12">
      <c r="D11" s="12"/>
      <c r="E11" s="12" t="s">
        <v>48</v>
      </c>
      <c r="F11" s="12" t="s">
        <v>49</v>
      </c>
      <c r="G11" s="12" t="s">
        <v>50</v>
      </c>
      <c r="H11" s="12" t="s">
        <v>51</v>
      </c>
      <c r="I11" s="12" t="s">
        <v>52</v>
      </c>
    </row>
    <row r="12" spans="1:12">
      <c r="D12" s="10" t="s">
        <v>44</v>
      </c>
      <c r="E12" s="10">
        <v>1</v>
      </c>
      <c r="F12" s="10">
        <v>364933.92857142858</v>
      </c>
      <c r="G12" s="10">
        <v>364933.92857142858</v>
      </c>
      <c r="H12" s="10">
        <v>217.79360568383674</v>
      </c>
      <c r="I12" s="10">
        <v>6.0838172449517512E-6</v>
      </c>
    </row>
    <row r="13" spans="1:12">
      <c r="D13" s="10" t="s">
        <v>45</v>
      </c>
      <c r="E13" s="10">
        <v>6</v>
      </c>
      <c r="F13" s="10">
        <v>10053.571428571422</v>
      </c>
      <c r="G13" s="10">
        <v>1675.5952380952369</v>
      </c>
      <c r="H13" s="10"/>
      <c r="I13" s="10"/>
    </row>
    <row r="14" spans="1:12" ht="15" thickBot="1">
      <c r="D14" s="11" t="s">
        <v>46</v>
      </c>
      <c r="E14" s="11">
        <v>7</v>
      </c>
      <c r="F14" s="11">
        <v>374987.5</v>
      </c>
      <c r="G14" s="11"/>
      <c r="H14" s="11"/>
      <c r="I14" s="11"/>
    </row>
    <row r="15" spans="1:12" ht="15" thickBot="1"/>
    <row r="16" spans="1:12">
      <c r="D16" s="12"/>
      <c r="E16" s="12" t="s">
        <v>53</v>
      </c>
      <c r="F16" s="12" t="s">
        <v>41</v>
      </c>
      <c r="G16" s="12" t="s">
        <v>54</v>
      </c>
      <c r="H16" s="12" t="s">
        <v>55</v>
      </c>
      <c r="I16" s="12" t="s">
        <v>56</v>
      </c>
      <c r="J16" s="12" t="s">
        <v>57</v>
      </c>
      <c r="K16" s="12" t="s">
        <v>58</v>
      </c>
      <c r="L16" s="12" t="s">
        <v>59</v>
      </c>
    </row>
    <row r="17" spans="4:12">
      <c r="D17" s="10" t="s">
        <v>47</v>
      </c>
      <c r="E17" s="10">
        <v>41.071428571428669</v>
      </c>
      <c r="F17" s="10">
        <v>37.633454896376982</v>
      </c>
      <c r="G17" s="10">
        <v>1.0913541869732153</v>
      </c>
      <c r="H17" s="10">
        <v>0.31699149788273195</v>
      </c>
      <c r="I17" s="10">
        <v>-51.014318214045858</v>
      </c>
      <c r="J17" s="10">
        <v>133.1571753569032</v>
      </c>
      <c r="K17" s="10">
        <v>-51.014318214045858</v>
      </c>
      <c r="L17" s="10">
        <v>133.1571753569032</v>
      </c>
    </row>
    <row r="18" spans="4:12" ht="15" thickBot="1">
      <c r="D18" s="11" t="s">
        <v>62</v>
      </c>
      <c r="E18" s="11">
        <v>0.93214285714285694</v>
      </c>
      <c r="F18" s="11">
        <v>6.3162587594677647E-2</v>
      </c>
      <c r="G18" s="11">
        <v>14.757832011641703</v>
      </c>
      <c r="H18" s="11">
        <v>6.0838172449517512E-6</v>
      </c>
      <c r="I18" s="11">
        <v>0.77758957300845799</v>
      </c>
      <c r="J18" s="11">
        <v>1.086696141277256</v>
      </c>
      <c r="K18" s="11">
        <v>0.77758957300845799</v>
      </c>
      <c r="L18" s="11">
        <v>1.086696141277256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08A3-3E75-49FA-8990-577B86D5A1E5}">
  <dimension ref="A1:G20"/>
  <sheetViews>
    <sheetView tabSelected="1" workbookViewId="0">
      <selection activeCell="H19" sqref="H19"/>
    </sheetView>
  </sheetViews>
  <sheetFormatPr defaultRowHeight="14.4"/>
  <sheetData>
    <row r="1" spans="1:7">
      <c r="A1">
        <v>1</v>
      </c>
      <c r="B1" t="s">
        <v>66</v>
      </c>
      <c r="C1" t="s">
        <v>67</v>
      </c>
      <c r="D1" t="s">
        <v>68</v>
      </c>
    </row>
    <row r="2" spans="1:7">
      <c r="A2">
        <v>2</v>
      </c>
      <c r="B2">
        <v>20</v>
      </c>
      <c r="C2">
        <v>5</v>
      </c>
      <c r="D2">
        <f>C2/$C$6</f>
        <v>0.1</v>
      </c>
    </row>
    <row r="3" spans="1:7">
      <c r="A3">
        <v>3</v>
      </c>
      <c r="B3">
        <v>25</v>
      </c>
      <c r="C3">
        <v>15</v>
      </c>
      <c r="D3" s="17">
        <f t="shared" ref="D3:D5" si="0">C3/$C$6</f>
        <v>0.3</v>
      </c>
    </row>
    <row r="4" spans="1:7">
      <c r="A4">
        <v>4</v>
      </c>
      <c r="B4">
        <v>40</v>
      </c>
      <c r="C4">
        <v>25</v>
      </c>
      <c r="D4" s="17">
        <f t="shared" si="0"/>
        <v>0.5</v>
      </c>
    </row>
    <row r="5" spans="1:7">
      <c r="A5">
        <v>5</v>
      </c>
      <c r="B5">
        <v>60</v>
      </c>
      <c r="C5">
        <v>5</v>
      </c>
      <c r="D5" s="17">
        <f t="shared" si="0"/>
        <v>0.1</v>
      </c>
    </row>
    <row r="6" spans="1:7">
      <c r="C6">
        <f>SUM(C2:C5)</f>
        <v>50</v>
      </c>
    </row>
    <row r="7" spans="1:7">
      <c r="B7" s="20" t="s">
        <v>72</v>
      </c>
      <c r="C7" s="20"/>
      <c r="D7" s="20"/>
      <c r="E7" s="20"/>
    </row>
    <row r="8" spans="1:7">
      <c r="A8" s="18"/>
      <c r="B8" s="18">
        <v>20</v>
      </c>
      <c r="C8" s="18">
        <v>25</v>
      </c>
      <c r="D8" s="18">
        <v>40</v>
      </c>
      <c r="E8" s="18">
        <v>60</v>
      </c>
      <c r="F8" s="18"/>
    </row>
    <row r="9" spans="1:7">
      <c r="A9" s="18">
        <v>20</v>
      </c>
      <c r="B9" s="18">
        <f>(MIN($A9, B$8) * 5) - (B$8 * 2)</f>
        <v>60</v>
      </c>
      <c r="C9" s="18">
        <f t="shared" ref="C9:E9" si="1">(MIN($A9, C$8) * 5) - (C$8 * 2)</f>
        <v>50</v>
      </c>
      <c r="D9" s="18">
        <f t="shared" si="1"/>
        <v>20</v>
      </c>
      <c r="E9" s="18">
        <f t="shared" si="1"/>
        <v>-20</v>
      </c>
      <c r="F9" s="18">
        <f>MAX(B9:E9)</f>
        <v>60</v>
      </c>
    </row>
    <row r="10" spans="1:7">
      <c r="A10" s="18">
        <v>25</v>
      </c>
      <c r="B10" s="18">
        <f t="shared" ref="B10:E12" si="2">(MIN($A10, B$8) * 5) - (B$8 * 2)</f>
        <v>60</v>
      </c>
      <c r="C10" s="18">
        <f t="shared" si="2"/>
        <v>75</v>
      </c>
      <c r="D10" s="18">
        <f t="shared" si="2"/>
        <v>45</v>
      </c>
      <c r="E10" s="18">
        <f t="shared" si="2"/>
        <v>5</v>
      </c>
      <c r="F10" s="18">
        <f t="shared" ref="F10:F13" si="3">MAX(B10:E10)</f>
        <v>75</v>
      </c>
    </row>
    <row r="11" spans="1:7">
      <c r="A11" s="18">
        <v>40</v>
      </c>
      <c r="B11" s="18">
        <f t="shared" si="2"/>
        <v>60</v>
      </c>
      <c r="C11" s="18">
        <f t="shared" si="2"/>
        <v>75</v>
      </c>
      <c r="D11" s="18">
        <f t="shared" si="2"/>
        <v>120</v>
      </c>
      <c r="E11" s="18">
        <f t="shared" si="2"/>
        <v>80</v>
      </c>
      <c r="F11" s="18">
        <f t="shared" si="3"/>
        <v>120</v>
      </c>
    </row>
    <row r="12" spans="1:7">
      <c r="A12" s="18">
        <v>60</v>
      </c>
      <c r="B12" s="18">
        <f>(MIN($A12, B$8) * 5) - (B$8 * 2)</f>
        <v>60</v>
      </c>
      <c r="C12" s="18">
        <f t="shared" si="2"/>
        <v>75</v>
      </c>
      <c r="D12" s="18">
        <f t="shared" si="2"/>
        <v>120</v>
      </c>
      <c r="E12" s="18">
        <f t="shared" si="2"/>
        <v>180</v>
      </c>
      <c r="F12" s="18">
        <f t="shared" si="3"/>
        <v>180</v>
      </c>
    </row>
    <row r="13" spans="1:7">
      <c r="A13" s="18" t="s">
        <v>70</v>
      </c>
      <c r="B13" s="18">
        <f>SUMPRODUCT(B9:B12, $C$2:$C$5)</f>
        <v>3000</v>
      </c>
      <c r="C13" s="18">
        <f t="shared" ref="C13:E13" si="4">SUMPRODUCT(C9:C12, $C$2:$C$5)</f>
        <v>3625</v>
      </c>
      <c r="D13" s="18">
        <f t="shared" si="4"/>
        <v>4375</v>
      </c>
      <c r="E13" s="18">
        <f t="shared" si="4"/>
        <v>2875</v>
      </c>
      <c r="F13" s="18">
        <f t="shared" si="3"/>
        <v>4375</v>
      </c>
      <c r="G13" t="s">
        <v>71</v>
      </c>
    </row>
    <row r="15" spans="1:7">
      <c r="A15" s="18"/>
      <c r="B15" s="20" t="s">
        <v>69</v>
      </c>
      <c r="C15" s="20"/>
      <c r="D15" s="20"/>
      <c r="E15" s="20"/>
    </row>
    <row r="16" spans="1:7">
      <c r="A16" s="18"/>
      <c r="B16" s="18">
        <v>20</v>
      </c>
      <c r="C16" s="18">
        <v>25</v>
      </c>
      <c r="D16" s="18">
        <v>40</v>
      </c>
      <c r="E16" s="18">
        <v>60</v>
      </c>
    </row>
    <row r="17" spans="1:5">
      <c r="A17" s="18">
        <v>20</v>
      </c>
      <c r="B17" s="18">
        <f>$F9 - B9</f>
        <v>0</v>
      </c>
      <c r="C17" s="18">
        <f t="shared" ref="C17:E17" si="5">$F9 - C9</f>
        <v>10</v>
      </c>
      <c r="D17" s="18">
        <f t="shared" si="5"/>
        <v>40</v>
      </c>
      <c r="E17" s="18">
        <f t="shared" si="5"/>
        <v>80</v>
      </c>
    </row>
    <row r="18" spans="1:5">
      <c r="A18" s="18">
        <v>25</v>
      </c>
      <c r="B18" s="18">
        <f t="shared" ref="B18:E18" si="6">$F10 - B10</f>
        <v>15</v>
      </c>
      <c r="C18" s="18">
        <f t="shared" si="6"/>
        <v>0</v>
      </c>
      <c r="D18" s="18">
        <f t="shared" si="6"/>
        <v>30</v>
      </c>
      <c r="E18" s="18">
        <f t="shared" si="6"/>
        <v>70</v>
      </c>
    </row>
    <row r="19" spans="1:5">
      <c r="A19" s="18">
        <v>40</v>
      </c>
      <c r="B19" s="18">
        <f t="shared" ref="B19:E19" si="7">$F11 - B11</f>
        <v>60</v>
      </c>
      <c r="C19" s="18">
        <f t="shared" si="7"/>
        <v>45</v>
      </c>
      <c r="D19" s="18">
        <f t="shared" si="7"/>
        <v>0</v>
      </c>
      <c r="E19" s="18">
        <f t="shared" si="7"/>
        <v>40</v>
      </c>
    </row>
    <row r="20" spans="1:5">
      <c r="A20" s="18">
        <v>60</v>
      </c>
      <c r="B20" s="18">
        <f t="shared" ref="B20:E20" si="8">$F12 - B12</f>
        <v>120</v>
      </c>
      <c r="C20" s="18">
        <f t="shared" si="8"/>
        <v>105</v>
      </c>
      <c r="D20" s="18">
        <f t="shared" si="8"/>
        <v>60</v>
      </c>
      <c r="E20" s="18">
        <f t="shared" si="8"/>
        <v>0</v>
      </c>
    </row>
  </sheetData>
  <mergeCells count="2">
    <mergeCell ref="B15:E15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Quadratic</vt:lpstr>
      <vt:lpstr>Moving Avg</vt:lpstr>
      <vt:lpstr>Multiple Regression Analysis</vt:lpstr>
      <vt:lpstr>Linear Regression</vt:lpstr>
      <vt:lpstr>NewsPaper Problem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 illeR</dc:creator>
  <cp:lastModifiedBy>SkR illeR</cp:lastModifiedBy>
  <dcterms:created xsi:type="dcterms:W3CDTF">2025-12-28T18:25:27Z</dcterms:created>
  <dcterms:modified xsi:type="dcterms:W3CDTF">2025-12-28T20:54:11Z</dcterms:modified>
</cp:coreProperties>
</file>